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ECOLE\"/>
    </mc:Choice>
  </mc:AlternateContent>
  <xr:revisionPtr revIDLastSave="0" documentId="13_ncr:1_{DC6E3F11-A2D4-4FF1-9DF4-8CFF9D1E4A5F}" xr6:coauthVersionLast="47" xr6:coauthVersionMax="47" xr10:uidLastSave="{00000000-0000-0000-0000-000000000000}"/>
  <bookViews>
    <workbookView xWindow="6345" yWindow="3720" windowWidth="22575" windowHeight="12405" tabRatio="500" activeTab="2" xr2:uid="{00000000-000D-0000-FFFF-FFFF00000000}"/>
  </bookViews>
  <sheets>
    <sheet name="M3C ING2 FISA Maths-Finance" sheetId="1" r:id="rId1"/>
    <sheet name="MOYENNE S1" sheetId="2" r:id="rId2"/>
    <sheet name="MOYENNE S2" sheetId="3" r:id="rId3"/>
  </sheets>
  <definedNames>
    <definedName name="_xlnm.Print_Titles" localSheetId="0">'M3C ING2 FISA Maths-Finance'!$4:$5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0" i="3" l="1"/>
  <c r="I27" i="3"/>
  <c r="I23" i="3"/>
  <c r="I18" i="3"/>
  <c r="I12" i="3"/>
  <c r="I7" i="3"/>
  <c r="J31" i="3"/>
  <c r="H31" i="3"/>
  <c r="G31" i="3"/>
  <c r="F31" i="3"/>
  <c r="E31" i="3"/>
  <c r="I18" i="2"/>
  <c r="I13" i="2"/>
  <c r="I8" i="2"/>
  <c r="J21" i="2"/>
  <c r="G21" i="2"/>
  <c r="F21" i="2"/>
  <c r="E21" i="2"/>
  <c r="I47" i="1"/>
  <c r="H47" i="1"/>
  <c r="G47" i="1"/>
  <c r="F47" i="1"/>
  <c r="E47" i="1"/>
  <c r="I21" i="1"/>
  <c r="H21" i="1"/>
  <c r="G21" i="1"/>
  <c r="F21" i="1"/>
  <c r="E21" i="1"/>
</calcChain>
</file>

<file path=xl/sharedStrings.xml><?xml version="1.0" encoding="utf-8"?>
<sst xmlns="http://schemas.openxmlformats.org/spreadsheetml/2006/main" count="610" uniqueCount="97">
  <si>
    <t>Modalités de contrôle des connaissances et des compétences (M3C)</t>
  </si>
  <si>
    <t>Année universitaire : 2026-2027   |   Type de diplôme, mention et parcours : FISA Mathématiques - Maths-Finance   |   Niveau : ING2</t>
  </si>
  <si>
    <t>Semestre 1</t>
  </si>
  <si>
    <t>Enseignements</t>
  </si>
  <si>
    <t>Mutualisation</t>
  </si>
  <si>
    <t>Langue</t>
  </si>
  <si>
    <t>Répartition horaire</t>
  </si>
  <si>
    <t>ECTS</t>
  </si>
  <si>
    <t>Coef</t>
  </si>
  <si>
    <t>Note seuil</t>
  </si>
  <si>
    <t>1ère session</t>
  </si>
  <si>
    <t>2ème session</t>
  </si>
  <si>
    <t>CM</t>
  </si>
  <si>
    <t>TD</t>
  </si>
  <si>
    <t>TP</t>
  </si>
  <si>
    <t>Autre</t>
  </si>
  <si>
    <t>Type de contrôle*</t>
  </si>
  <si>
    <t>Type d'épreuve**</t>
  </si>
  <si>
    <t>Règle de calcul</t>
  </si>
  <si>
    <t>UE1</t>
  </si>
  <si>
    <t>Mathématiques et Data</t>
  </si>
  <si>
    <t>EC1</t>
  </si>
  <si>
    <t>Calcul stochastique et évaluation des actifs contingents 1</t>
  </si>
  <si>
    <t>Anglais</t>
  </si>
  <si>
    <t>ET</t>
  </si>
  <si>
    <t>E</t>
  </si>
  <si>
    <t>100%</t>
  </si>
  <si>
    <t>E ou O</t>
  </si>
  <si>
    <t>EC2</t>
  </si>
  <si>
    <t>Introduction à l'économétrie</t>
  </si>
  <si>
    <t>CC + ET</t>
  </si>
  <si>
    <t>25% + 75%</t>
  </si>
  <si>
    <t>25% (report CC session 1) + 75%</t>
  </si>
  <si>
    <t>EC3</t>
  </si>
  <si>
    <t>VBA for finance</t>
  </si>
  <si>
    <t>Français</t>
  </si>
  <si>
    <t>CC</t>
  </si>
  <si>
    <t>EC4</t>
  </si>
  <si>
    <t>Python for finance</t>
  </si>
  <si>
    <t>UE2</t>
  </si>
  <si>
    <t>Finance Fondamentaux</t>
  </si>
  <si>
    <t>Equity markets and trading strategies</t>
  </si>
  <si>
    <t>Lecture des états financiers, comptabilité écologique</t>
  </si>
  <si>
    <t>Corporate Finance</t>
  </si>
  <si>
    <t>UE3</t>
  </si>
  <si>
    <t>Culture de l'Ingénieur 1</t>
  </si>
  <si>
    <t>LV1 - TOEIC</t>
  </si>
  <si>
    <t>E + O</t>
  </si>
  <si>
    <t>Report</t>
  </si>
  <si>
    <t>Re-calcul</t>
  </si>
  <si>
    <t>Suppression de la plus mauvaise note (hors TOEIC)</t>
  </si>
  <si>
    <t>LV2 ou remédiation à niveau Français ou remédiation TOEIC</t>
  </si>
  <si>
    <t>Non évalué</t>
  </si>
  <si>
    <t>Communication interculturelle</t>
  </si>
  <si>
    <t>E et/ou O</t>
  </si>
  <si>
    <t>Rattrapage de la plus mauvaise note de session 1</t>
  </si>
  <si>
    <t>UE4</t>
  </si>
  <si>
    <t>Formation en Entreprise</t>
  </si>
  <si>
    <t>SAE1</t>
  </si>
  <si>
    <t>Apprentissage en milieu professionnel</t>
  </si>
  <si>
    <t>Total heures étudiants</t>
  </si>
  <si>
    <t>Semestre 2</t>
  </si>
  <si>
    <t>Data</t>
  </si>
  <si>
    <t>Intelligence artificielle (IA)</t>
  </si>
  <si>
    <t>Cybersécurité</t>
  </si>
  <si>
    <t>Econométrie de la finance</t>
  </si>
  <si>
    <t>Régulation des marchés financiers</t>
  </si>
  <si>
    <t>Marchés de l'assurance</t>
  </si>
  <si>
    <t>Gestion de trésorerie</t>
  </si>
  <si>
    <t>Finance approfondissement</t>
  </si>
  <si>
    <t>Corporate valuation</t>
  </si>
  <si>
    <t>Analyse financière</t>
  </si>
  <si>
    <t>Fixed income markets</t>
  </si>
  <si>
    <t>Options and Structured Products</t>
  </si>
  <si>
    <t>Culture de l'Ingénieur 2</t>
  </si>
  <si>
    <t>LV1 - Anglais</t>
  </si>
  <si>
    <t>Ateliers d'intelligence collective</t>
  </si>
  <si>
    <t>Rattrapage de la plus mauvaise note de CC de session 1</t>
  </si>
  <si>
    <t>UE5</t>
  </si>
  <si>
    <t>SAE</t>
  </si>
  <si>
    <t>Projet</t>
  </si>
  <si>
    <t>Design de la décision</t>
  </si>
  <si>
    <t>UE6</t>
  </si>
  <si>
    <t>Légende</t>
  </si>
  <si>
    <t>*  Type de contrôle : examen terminal (ET), contrôle continu (CC), contrôle continu intégral (CCI)</t>
  </si>
  <si>
    <t>** Type d'épreuve : écrit (E), oral (O), assiduité (A), pratique (P)</t>
  </si>
  <si>
    <t>*** SAE : situation d'apprentissage et d'évaluation d'enseignement</t>
  </si>
  <si>
    <t>Note seuil : note minimale exigée dans l'EC (6/20, ou 12/20 pour l'apprentissage en milieu professionnel).</t>
  </si>
  <si>
    <t>Notes de reconstitution (source : PDF M3C-RGP modèle contrat 2026-31.xlsx, page 1)</t>
  </si>
  <si>
    <t>Les lignes de total utilisent des formules SUM : elles se recalculent si tu modifies les volumes horaires.</t>
  </si>
  <si>
    <t>Semestre 1 : les totaux calculés (CM 186 / TD 24 / TP 46,5 / ECTS 30) sont identiques à ceux du PDF source.</t>
  </si>
  <si>
    <t>Semestre 2 : le PDF source affiche CM 224 / TD 27 / TP 90 / ECTS 30. TD et ECTS concordent ; CM et TP ne concordent pas, car l'extraction texte du PDF ne restitue pas la colonne exacte de chaque volume horaire (cellules vides indiscernables).</t>
  </si>
  <si>
    <t>Hypothèses de répartition CM/TD/TP retenues (à vérifier sur le fichier officiel) : VBA &amp; Python for finance = 12 CM + 12 TD ; LV1 = 18 CM + 18 TP ; LV2 = 18 TP ; Communication interculturelle = 10,5 CM + 10,5 TP ; IA = 14 CM + 13 TD ; Cybersécurité = 7,5 CM + 6 TD ; Ateliers d'intelligence collective = 16,5 CM + 8 TD.</t>
  </si>
  <si>
    <t>SAE1 Projet (S2) : la ligne du PDF contient « 3  40  2 » ; retenu comme 3 h CM + 40 h Autre + coefficient 2 (cohérent avec le coef 3 de l'UE5 = 2 + 1).</t>
  </si>
  <si>
    <t>Colonne « Mutualisation » laissée vide : aucune valeur exploitable dans le PDF fourni.</t>
  </si>
  <si>
    <t>NOTE examen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</si>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</sst>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3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CCFFFF"/>
      </patternFill>
    </fill>
    <fill>
      <patternFill patternType="solid">
        <fgColor rgb="FFBFBFBF"/>
        <bgColor rgb="FFA6A6A6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rgb="FF404040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rgb="FF404040"/>
      </top>
      <bottom style="medium">
        <color rgb="FF404040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medium">
        <color rgb="FF404040"/>
      </top>
      <bottom style="medium">
        <color rgb="FF404040"/>
      </bottom>
      <diagonal/>
    </border>
    <border>
      <left/>
      <right/>
      <top style="medium">
        <color rgb="FF404040"/>
      </top>
      <bottom style="medium">
        <color rgb="FF404040"/>
      </bottom>
      <diagonal/>
    </border>
    <border>
      <left/>
      <right style="thin">
        <color rgb="FFA6A6A6"/>
      </right>
      <top style="medium">
        <color rgb="FF404040"/>
      </top>
      <bottom style="medium">
        <color rgb="FF404040"/>
      </bottom>
      <diagonal/>
    </border>
    <border>
      <left style="thin">
        <color rgb="FFA6A6A6"/>
      </left>
      <right style="thin">
        <color rgb="FFA6A6A6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 wrapText="1"/>
    </xf>
    <xf numFmtId="0" fontId="4" fillId="5" borderId="9" xfId="0" applyFont="1" applyFill="1" applyBorder="1" applyAlignment="1">
      <alignment horizontal="left" vertical="center" wrapText="1"/>
    </xf>
    <xf numFmtId="0" fontId="4" fillId="5" borderId="10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7" borderId="1" xfId="0" applyNumberFormat="1" applyFont="1" applyFill="1" applyBorder="1" applyAlignment="1">
      <alignment horizontal="center" vertical="center" wrapText="1"/>
    </xf>
    <xf numFmtId="0" fontId="3" fillId="3" borderId="3" xfId="0" applyNumberFormat="1" applyFont="1" applyFill="1" applyBorder="1" applyAlignment="1">
      <alignment horizontal="center" vertical="center" wrapText="1"/>
    </xf>
    <xf numFmtId="0" fontId="3" fillId="7" borderId="5" xfId="0" applyNumberFormat="1" applyFont="1" applyFill="1" applyBorder="1" applyAlignment="1">
      <alignment horizontal="center" vertical="center" wrapText="1"/>
    </xf>
    <xf numFmtId="0" fontId="4" fillId="4" borderId="3" xfId="0" applyNumberFormat="1" applyFont="1" applyFill="1" applyBorder="1" applyAlignment="1">
      <alignment horizontal="center" vertical="center" wrapText="1"/>
    </xf>
    <xf numFmtId="0" fontId="4" fillId="4" borderId="3" xfId="0" applyNumberFormat="1" applyFont="1" applyFill="1" applyBorder="1" applyAlignment="1">
      <alignment horizontal="left" vertical="center" wrapText="1"/>
    </xf>
    <xf numFmtId="0" fontId="5" fillId="0" borderId="3" xfId="0" applyNumberFormat="1" applyFont="1" applyBorder="1" applyAlignment="1">
      <alignment horizontal="center" vertical="center" wrapText="1"/>
    </xf>
    <xf numFmtId="0" fontId="5" fillId="0" borderId="3" xfId="0" applyNumberFormat="1" applyFont="1" applyBorder="1" applyAlignment="1">
      <alignment horizontal="left" vertical="center" wrapText="1"/>
    </xf>
    <xf numFmtId="0" fontId="5" fillId="8" borderId="3" xfId="0" applyNumberFormat="1" applyFont="1" applyFill="1" applyBorder="1" applyAlignment="1">
      <alignment horizontal="center" vertical="center" wrapText="1"/>
    </xf>
    <xf numFmtId="0" fontId="5" fillId="8" borderId="2" xfId="0" applyNumberFormat="1" applyFont="1" applyFill="1" applyBorder="1" applyAlignment="1">
      <alignment horizontal="center" vertical="center" wrapText="1"/>
    </xf>
    <xf numFmtId="0" fontId="5" fillId="8" borderId="6" xfId="0" applyNumberFormat="1" applyFont="1" applyFill="1" applyBorder="1" applyAlignment="1">
      <alignment horizontal="center" vertical="center" wrapText="1"/>
    </xf>
    <xf numFmtId="0" fontId="5" fillId="6" borderId="3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Border="1" applyAlignment="1">
      <alignment horizontal="center" vertical="center" wrapText="1"/>
    </xf>
    <xf numFmtId="0" fontId="5" fillId="0" borderId="11" xfId="0" applyNumberFormat="1" applyFont="1" applyBorder="1" applyAlignment="1">
      <alignment horizontal="center" vertical="center" wrapText="1"/>
    </xf>
    <xf numFmtId="0" fontId="4" fillId="5" borderId="4" xfId="0" applyNumberFormat="1" applyFont="1" applyFill="1" applyBorder="1" applyAlignment="1">
      <alignment horizontal="left" vertical="center" wrapText="1"/>
    </xf>
    <xf numFmtId="0" fontId="4" fillId="5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2E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59F7E95-428C-42E2-BEF2-08F83C93EC9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47cd8c0-0367-4e80-99f1-f678d80dcb9d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1"/>
  <sheetViews>
    <sheetView showGridLines="0" zoomScaleNormal="100" workbookViewId="0">
      <pane xSplit="2" ySplit="5" topLeftCell="C30" activePane="bottomRight" state="frozen"/>
      <selection pane="topRight" activeCell="C1" sqref="C1"/>
      <selection pane="bottomLeft" activeCell="A6" sqref="A6"/>
      <selection pane="bottomRight" activeCell="M41" sqref="M41"/>
    </sheetView>
  </sheetViews>
  <sheetFormatPr defaultColWidth="8.7109375" defaultRowHeight="15" x14ac:dyDescent="0.25"/>
  <cols>
    <col min="1" max="1" width="7" customWidth="1"/>
    <col min="2" max="2" width="46" customWidth="1"/>
    <col min="3" max="3" width="14" customWidth="1"/>
    <col min="4" max="4" width="10" customWidth="1"/>
    <col min="5" max="7" width="6.5703125" customWidth="1"/>
    <col min="8" max="8" width="7" customWidth="1"/>
    <col min="9" max="10" width="6.5703125" customWidth="1"/>
    <col min="11" max="11" width="8" customWidth="1"/>
    <col min="12" max="12" width="12" customWidth="1"/>
    <col min="13" max="13" width="13" customWidth="1"/>
    <col min="14" max="14" width="22" customWidth="1"/>
    <col min="15" max="15" width="12" customWidth="1"/>
    <col min="16" max="16" width="13" customWidth="1"/>
    <col min="17" max="17" width="34" customWidth="1"/>
  </cols>
  <sheetData>
    <row r="1" spans="1:17" ht="19.5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5" customHeight="1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4" spans="1:17" ht="15.75" customHeight="1" x14ac:dyDescent="0.25">
      <c r="A4" s="9" t="s">
        <v>2</v>
      </c>
      <c r="B4" s="9" t="s">
        <v>3</v>
      </c>
      <c r="C4" s="9" t="s">
        <v>4</v>
      </c>
      <c r="D4" s="9" t="s">
        <v>5</v>
      </c>
      <c r="E4" s="17" t="s">
        <v>6</v>
      </c>
      <c r="F4" s="17"/>
      <c r="G4" s="17"/>
      <c r="H4" s="17"/>
      <c r="I4" s="9" t="s">
        <v>7</v>
      </c>
      <c r="J4" s="9" t="s">
        <v>8</v>
      </c>
      <c r="K4" s="9" t="s">
        <v>9</v>
      </c>
      <c r="L4" s="17" t="s">
        <v>10</v>
      </c>
      <c r="M4" s="17"/>
      <c r="N4" s="17"/>
      <c r="O4" s="17" t="s">
        <v>11</v>
      </c>
      <c r="P4" s="17"/>
      <c r="Q4" s="17"/>
    </row>
    <row r="5" spans="1:17" ht="27.75" customHeight="1" x14ac:dyDescent="0.25">
      <c r="A5" s="9"/>
      <c r="B5" s="9"/>
      <c r="C5" s="9"/>
      <c r="D5" s="9"/>
      <c r="E5" s="1" t="s">
        <v>12</v>
      </c>
      <c r="F5" s="1" t="s">
        <v>13</v>
      </c>
      <c r="G5" s="1" t="s">
        <v>14</v>
      </c>
      <c r="H5" s="1" t="s">
        <v>15</v>
      </c>
      <c r="I5" s="9"/>
      <c r="J5" s="9"/>
      <c r="K5" s="9"/>
      <c r="L5" s="1" t="s">
        <v>16</v>
      </c>
      <c r="M5" s="1" t="s">
        <v>17</v>
      </c>
      <c r="N5" s="1" t="s">
        <v>18</v>
      </c>
      <c r="O5" s="1" t="s">
        <v>16</v>
      </c>
      <c r="P5" s="1" t="s">
        <v>17</v>
      </c>
      <c r="Q5" s="1" t="s">
        <v>18</v>
      </c>
    </row>
    <row r="6" spans="1:17" ht="18" customHeight="1" x14ac:dyDescent="0.25">
      <c r="A6" s="2" t="s">
        <v>19</v>
      </c>
      <c r="B6" s="3" t="s">
        <v>20</v>
      </c>
      <c r="C6" s="2"/>
      <c r="D6" s="2"/>
      <c r="E6" s="2"/>
      <c r="F6" s="2"/>
      <c r="G6" s="2"/>
      <c r="H6" s="2"/>
      <c r="I6" s="2">
        <v>10</v>
      </c>
      <c r="J6" s="2">
        <v>10</v>
      </c>
      <c r="K6" s="2"/>
      <c r="L6" s="2"/>
      <c r="M6" s="2"/>
      <c r="N6" s="2"/>
      <c r="O6" s="2"/>
      <c r="P6" s="2"/>
      <c r="Q6" s="2"/>
    </row>
    <row r="7" spans="1:17" ht="25.5" customHeight="1" x14ac:dyDescent="0.25">
      <c r="A7" s="4" t="s">
        <v>21</v>
      </c>
      <c r="B7" s="5" t="s">
        <v>22</v>
      </c>
      <c r="C7" s="4"/>
      <c r="D7" s="4" t="s">
        <v>23</v>
      </c>
      <c r="E7" s="4">
        <v>31.5</v>
      </c>
      <c r="F7" s="4"/>
      <c r="G7" s="4"/>
      <c r="H7" s="4"/>
      <c r="I7" s="4"/>
      <c r="J7" s="4">
        <v>3</v>
      </c>
      <c r="K7" s="4">
        <v>6</v>
      </c>
      <c r="L7" s="4" t="s">
        <v>24</v>
      </c>
      <c r="M7" s="4" t="s">
        <v>25</v>
      </c>
      <c r="N7" s="4" t="s">
        <v>26</v>
      </c>
      <c r="O7" s="4" t="s">
        <v>24</v>
      </c>
      <c r="P7" s="4" t="s">
        <v>27</v>
      </c>
      <c r="Q7" s="4" t="s">
        <v>26</v>
      </c>
    </row>
    <row r="8" spans="1:17" ht="18" customHeight="1" x14ac:dyDescent="0.25">
      <c r="A8" s="4" t="s">
        <v>28</v>
      </c>
      <c r="B8" s="5" t="s">
        <v>29</v>
      </c>
      <c r="C8" s="4"/>
      <c r="D8" s="4" t="s">
        <v>23</v>
      </c>
      <c r="E8" s="4">
        <v>22.5</v>
      </c>
      <c r="F8" s="4"/>
      <c r="G8" s="4"/>
      <c r="H8" s="4"/>
      <c r="I8" s="4"/>
      <c r="J8" s="4">
        <v>3</v>
      </c>
      <c r="K8" s="4">
        <v>6</v>
      </c>
      <c r="L8" s="4" t="s">
        <v>30</v>
      </c>
      <c r="M8" s="4" t="s">
        <v>25</v>
      </c>
      <c r="N8" s="4" t="s">
        <v>31</v>
      </c>
      <c r="O8" s="4" t="s">
        <v>30</v>
      </c>
      <c r="P8" s="4" t="s">
        <v>27</v>
      </c>
      <c r="Q8" s="4" t="s">
        <v>32</v>
      </c>
    </row>
    <row r="9" spans="1:17" ht="18" customHeight="1" x14ac:dyDescent="0.25">
      <c r="A9" s="4" t="s">
        <v>33</v>
      </c>
      <c r="B9" s="5" t="s">
        <v>34</v>
      </c>
      <c r="C9" s="4"/>
      <c r="D9" s="4" t="s">
        <v>35</v>
      </c>
      <c r="E9" s="4">
        <v>12</v>
      </c>
      <c r="F9" s="4">
        <v>12</v>
      </c>
      <c r="G9" s="4"/>
      <c r="H9" s="4"/>
      <c r="I9" s="4"/>
      <c r="J9" s="4">
        <v>2</v>
      </c>
      <c r="K9" s="4">
        <v>6</v>
      </c>
      <c r="L9" s="4" t="s">
        <v>36</v>
      </c>
      <c r="M9" s="4" t="s">
        <v>25</v>
      </c>
      <c r="N9" s="4" t="s">
        <v>26</v>
      </c>
      <c r="O9" s="4" t="s">
        <v>24</v>
      </c>
      <c r="P9" s="4" t="s">
        <v>27</v>
      </c>
      <c r="Q9" s="4" t="s">
        <v>26</v>
      </c>
    </row>
    <row r="10" spans="1:17" ht="18" customHeight="1" x14ac:dyDescent="0.25">
      <c r="A10" s="4" t="s">
        <v>37</v>
      </c>
      <c r="B10" s="5" t="s">
        <v>38</v>
      </c>
      <c r="C10" s="4"/>
      <c r="D10" s="4" t="s">
        <v>35</v>
      </c>
      <c r="E10" s="4">
        <v>12</v>
      </c>
      <c r="F10" s="4">
        <v>12</v>
      </c>
      <c r="G10" s="4"/>
      <c r="H10" s="4"/>
      <c r="I10" s="4"/>
      <c r="J10" s="4">
        <v>2</v>
      </c>
      <c r="K10" s="4">
        <v>6</v>
      </c>
      <c r="L10" s="4" t="s">
        <v>36</v>
      </c>
      <c r="M10" s="4" t="s">
        <v>25</v>
      </c>
      <c r="N10" s="4" t="s">
        <v>26</v>
      </c>
      <c r="O10" s="4" t="s">
        <v>24</v>
      </c>
      <c r="P10" s="4" t="s">
        <v>27</v>
      </c>
      <c r="Q10" s="4" t="s">
        <v>26</v>
      </c>
    </row>
    <row r="11" spans="1:17" ht="18" customHeight="1" x14ac:dyDescent="0.25">
      <c r="A11" s="2" t="s">
        <v>39</v>
      </c>
      <c r="B11" s="3" t="s">
        <v>40</v>
      </c>
      <c r="C11" s="2"/>
      <c r="D11" s="2"/>
      <c r="E11" s="2"/>
      <c r="F11" s="2"/>
      <c r="G11" s="2"/>
      <c r="H11" s="2"/>
      <c r="I11" s="2">
        <v>8</v>
      </c>
      <c r="J11" s="2">
        <v>8</v>
      </c>
      <c r="K11" s="2"/>
      <c r="L11" s="2"/>
      <c r="M11" s="2"/>
      <c r="N11" s="2"/>
      <c r="O11" s="2"/>
      <c r="P11" s="2"/>
      <c r="Q11" s="2"/>
    </row>
    <row r="12" spans="1:17" ht="18" customHeight="1" x14ac:dyDescent="0.25">
      <c r="A12" s="4" t="s">
        <v>21</v>
      </c>
      <c r="B12" s="5" t="s">
        <v>41</v>
      </c>
      <c r="C12" s="4"/>
      <c r="D12" s="4" t="s">
        <v>23</v>
      </c>
      <c r="E12" s="4">
        <v>31.5</v>
      </c>
      <c r="F12" s="4"/>
      <c r="G12" s="4"/>
      <c r="H12" s="4"/>
      <c r="I12" s="4"/>
      <c r="J12" s="4">
        <v>3</v>
      </c>
      <c r="K12" s="4">
        <v>6</v>
      </c>
      <c r="L12" s="4" t="s">
        <v>24</v>
      </c>
      <c r="M12" s="4" t="s">
        <v>25</v>
      </c>
      <c r="N12" s="4" t="s">
        <v>26</v>
      </c>
      <c r="O12" s="4" t="s">
        <v>24</v>
      </c>
      <c r="P12" s="4" t="s">
        <v>27</v>
      </c>
      <c r="Q12" s="4" t="s">
        <v>26</v>
      </c>
    </row>
    <row r="13" spans="1:17" ht="25.5" customHeight="1" x14ac:dyDescent="0.25">
      <c r="A13" s="4" t="s">
        <v>28</v>
      </c>
      <c r="B13" s="5" t="s">
        <v>42</v>
      </c>
      <c r="C13" s="4"/>
      <c r="D13" s="4" t="s">
        <v>35</v>
      </c>
      <c r="E13" s="4">
        <v>24</v>
      </c>
      <c r="F13" s="4"/>
      <c r="G13" s="4"/>
      <c r="H13" s="4"/>
      <c r="I13" s="4"/>
      <c r="J13" s="4">
        <v>2.5</v>
      </c>
      <c r="K13" s="4">
        <v>6</v>
      </c>
      <c r="L13" s="4" t="s">
        <v>36</v>
      </c>
      <c r="M13" s="4" t="s">
        <v>25</v>
      </c>
      <c r="N13" s="4" t="s">
        <v>26</v>
      </c>
      <c r="O13" s="4" t="s">
        <v>24</v>
      </c>
      <c r="P13" s="4" t="s">
        <v>27</v>
      </c>
      <c r="Q13" s="4" t="s">
        <v>26</v>
      </c>
    </row>
    <row r="14" spans="1:17" ht="18" customHeight="1" x14ac:dyDescent="0.25">
      <c r="A14" s="4" t="s">
        <v>33</v>
      </c>
      <c r="B14" s="5" t="s">
        <v>43</v>
      </c>
      <c r="C14" s="4"/>
      <c r="D14" s="4" t="s">
        <v>23</v>
      </c>
      <c r="E14" s="4">
        <v>24</v>
      </c>
      <c r="F14" s="4"/>
      <c r="G14" s="4"/>
      <c r="H14" s="4"/>
      <c r="I14" s="4"/>
      <c r="J14" s="4">
        <v>2.5</v>
      </c>
      <c r="K14" s="4">
        <v>6</v>
      </c>
      <c r="L14" s="4" t="s">
        <v>24</v>
      </c>
      <c r="M14" s="4" t="s">
        <v>25</v>
      </c>
      <c r="N14" s="4" t="s">
        <v>26</v>
      </c>
      <c r="O14" s="4" t="s">
        <v>24</v>
      </c>
      <c r="P14" s="4" t="s">
        <v>27</v>
      </c>
      <c r="Q14" s="4" t="s">
        <v>26</v>
      </c>
    </row>
    <row r="15" spans="1:17" ht="18" customHeight="1" x14ac:dyDescent="0.25">
      <c r="A15" s="2" t="s">
        <v>44</v>
      </c>
      <c r="B15" s="3" t="s">
        <v>45</v>
      </c>
      <c r="C15" s="2"/>
      <c r="D15" s="2"/>
      <c r="E15" s="2"/>
      <c r="F15" s="2"/>
      <c r="G15" s="2"/>
      <c r="H15" s="2"/>
      <c r="I15" s="2">
        <v>2</v>
      </c>
      <c r="J15" s="2">
        <v>2</v>
      </c>
      <c r="K15" s="2"/>
      <c r="L15" s="2"/>
      <c r="M15" s="2"/>
      <c r="N15" s="2"/>
      <c r="O15" s="2"/>
      <c r="P15" s="2"/>
      <c r="Q15" s="2"/>
    </row>
    <row r="16" spans="1:17" ht="18" customHeight="1" x14ac:dyDescent="0.25">
      <c r="A16" s="4" t="s">
        <v>21</v>
      </c>
      <c r="B16" s="5" t="s">
        <v>46</v>
      </c>
      <c r="C16" s="4"/>
      <c r="D16" s="4" t="s">
        <v>35</v>
      </c>
      <c r="E16" s="4">
        <v>18</v>
      </c>
      <c r="F16" s="4"/>
      <c r="G16" s="4">
        <v>18</v>
      </c>
      <c r="H16" s="4"/>
      <c r="I16" s="4"/>
      <c r="J16" s="4">
        <v>1</v>
      </c>
      <c r="K16" s="4">
        <v>6</v>
      </c>
      <c r="L16" s="4" t="s">
        <v>36</v>
      </c>
      <c r="M16" s="4" t="s">
        <v>47</v>
      </c>
      <c r="N16" s="4" t="s">
        <v>26</v>
      </c>
      <c r="O16" s="4" t="s">
        <v>48</v>
      </c>
      <c r="P16" s="4" t="s">
        <v>49</v>
      </c>
      <c r="Q16" s="4" t="s">
        <v>50</v>
      </c>
    </row>
    <row r="17" spans="1:17" ht="25.5" customHeight="1" x14ac:dyDescent="0.25">
      <c r="A17" s="4" t="s">
        <v>28</v>
      </c>
      <c r="B17" s="5" t="s">
        <v>51</v>
      </c>
      <c r="C17" s="4"/>
      <c r="D17" s="4" t="s">
        <v>35</v>
      </c>
      <c r="E17" s="4"/>
      <c r="F17" s="4"/>
      <c r="G17" s="4">
        <v>18</v>
      </c>
      <c r="H17" s="4"/>
      <c r="I17" s="4"/>
      <c r="J17" s="4">
        <v>0</v>
      </c>
      <c r="K17" s="4"/>
      <c r="L17" s="10" t="s">
        <v>52</v>
      </c>
      <c r="M17" s="10"/>
      <c r="N17" s="10"/>
      <c r="O17" s="10"/>
      <c r="P17" s="10"/>
      <c r="Q17" s="10"/>
    </row>
    <row r="18" spans="1:17" ht="18" customHeight="1" x14ac:dyDescent="0.25">
      <c r="A18" s="4" t="s">
        <v>33</v>
      </c>
      <c r="B18" s="5" t="s">
        <v>53</v>
      </c>
      <c r="C18" s="4"/>
      <c r="D18" s="4" t="s">
        <v>35</v>
      </c>
      <c r="E18" s="4">
        <v>10.5</v>
      </c>
      <c r="F18" s="4"/>
      <c r="G18" s="4">
        <v>10.5</v>
      </c>
      <c r="H18" s="4"/>
      <c r="I18" s="4"/>
      <c r="J18" s="4">
        <v>1</v>
      </c>
      <c r="K18" s="4">
        <v>6</v>
      </c>
      <c r="L18" s="4" t="s">
        <v>36</v>
      </c>
      <c r="M18" s="4" t="s">
        <v>25</v>
      </c>
      <c r="N18" s="4" t="s">
        <v>26</v>
      </c>
      <c r="O18" s="4" t="s">
        <v>36</v>
      </c>
      <c r="P18" s="4" t="s">
        <v>54</v>
      </c>
      <c r="Q18" s="4" t="s">
        <v>55</v>
      </c>
    </row>
    <row r="19" spans="1:17" ht="18" customHeight="1" x14ac:dyDescent="0.25">
      <c r="A19" s="2" t="s">
        <v>56</v>
      </c>
      <c r="B19" s="3" t="s">
        <v>57</v>
      </c>
      <c r="C19" s="2"/>
      <c r="D19" s="2"/>
      <c r="E19" s="2"/>
      <c r="F19" s="2"/>
      <c r="G19" s="2"/>
      <c r="H19" s="2"/>
      <c r="I19" s="2">
        <v>10</v>
      </c>
      <c r="J19" s="2">
        <v>10</v>
      </c>
      <c r="K19" s="2"/>
      <c r="L19" s="2"/>
      <c r="M19" s="2"/>
      <c r="N19" s="2"/>
      <c r="O19" s="2"/>
      <c r="P19" s="2"/>
      <c r="Q19" s="2"/>
    </row>
    <row r="20" spans="1:17" ht="18" customHeight="1" x14ac:dyDescent="0.25">
      <c r="A20" s="4" t="s">
        <v>58</v>
      </c>
      <c r="B20" s="5" t="s">
        <v>59</v>
      </c>
      <c r="C20" s="4"/>
      <c r="D20" s="4"/>
      <c r="E20" s="4"/>
      <c r="F20" s="4"/>
      <c r="G20" s="4"/>
      <c r="H20" s="4"/>
      <c r="I20" s="4"/>
      <c r="J20" s="4">
        <v>10</v>
      </c>
      <c r="K20" s="4">
        <v>12</v>
      </c>
      <c r="L20" s="4" t="s">
        <v>36</v>
      </c>
      <c r="M20" s="4" t="s">
        <v>25</v>
      </c>
      <c r="N20" s="4" t="s">
        <v>26</v>
      </c>
      <c r="O20" s="4" t="s">
        <v>36</v>
      </c>
      <c r="P20" s="4" t="s">
        <v>54</v>
      </c>
      <c r="Q20" s="4" t="s">
        <v>26</v>
      </c>
    </row>
    <row r="21" spans="1:17" ht="15" customHeight="1" x14ac:dyDescent="0.25">
      <c r="A21" s="11" t="s">
        <v>60</v>
      </c>
      <c r="B21" s="11"/>
      <c r="C21" s="11"/>
      <c r="D21" s="11"/>
      <c r="E21" s="6">
        <f>SUM(E6:E20)</f>
        <v>186</v>
      </c>
      <c r="F21" s="6">
        <f>SUM(F6:F20)</f>
        <v>24</v>
      </c>
      <c r="G21" s="6">
        <f>SUM(G6:G20)</f>
        <v>46.5</v>
      </c>
      <c r="H21" s="6">
        <f>SUM(H6:H20)</f>
        <v>0</v>
      </c>
      <c r="I21" s="6">
        <f>SUM(I6:I20)</f>
        <v>30</v>
      </c>
      <c r="J21" s="6"/>
      <c r="K21" s="6"/>
      <c r="L21" s="6"/>
      <c r="M21" s="6"/>
      <c r="N21" s="6"/>
      <c r="O21" s="6"/>
      <c r="P21" s="6"/>
      <c r="Q21" s="6"/>
    </row>
    <row r="23" spans="1:17" ht="15.75" customHeight="1" x14ac:dyDescent="0.25">
      <c r="A23" s="9" t="s">
        <v>61</v>
      </c>
      <c r="B23" s="9" t="s">
        <v>3</v>
      </c>
      <c r="C23" s="9" t="s">
        <v>4</v>
      </c>
      <c r="D23" s="9" t="s">
        <v>5</v>
      </c>
      <c r="E23" s="17" t="s">
        <v>6</v>
      </c>
      <c r="F23" s="17"/>
      <c r="G23" s="17"/>
      <c r="H23" s="17"/>
      <c r="I23" s="9" t="s">
        <v>7</v>
      </c>
      <c r="J23" s="9" t="s">
        <v>8</v>
      </c>
      <c r="K23" s="9" t="s">
        <v>9</v>
      </c>
      <c r="L23" s="17" t="s">
        <v>10</v>
      </c>
      <c r="M23" s="17"/>
      <c r="N23" s="17"/>
      <c r="O23" s="17" t="s">
        <v>11</v>
      </c>
      <c r="P23" s="17"/>
      <c r="Q23" s="17"/>
    </row>
    <row r="24" spans="1:17" ht="27.75" customHeight="1" x14ac:dyDescent="0.25">
      <c r="A24" s="9"/>
      <c r="B24" s="9"/>
      <c r="C24" s="9"/>
      <c r="D24" s="9"/>
      <c r="E24" s="1" t="s">
        <v>12</v>
      </c>
      <c r="F24" s="1" t="s">
        <v>13</v>
      </c>
      <c r="G24" s="1" t="s">
        <v>14</v>
      </c>
      <c r="H24" s="1" t="s">
        <v>15</v>
      </c>
      <c r="I24" s="9"/>
      <c r="J24" s="9"/>
      <c r="K24" s="9"/>
      <c r="L24" s="1" t="s">
        <v>16</v>
      </c>
      <c r="M24" s="1" t="s">
        <v>17</v>
      </c>
      <c r="N24" s="1" t="s">
        <v>18</v>
      </c>
      <c r="O24" s="1" t="s">
        <v>16</v>
      </c>
      <c r="P24" s="1" t="s">
        <v>17</v>
      </c>
      <c r="Q24" s="1" t="s">
        <v>18</v>
      </c>
    </row>
    <row r="25" spans="1:17" ht="18" customHeight="1" x14ac:dyDescent="0.25">
      <c r="A25" s="2" t="s">
        <v>19</v>
      </c>
      <c r="B25" s="3" t="s">
        <v>62</v>
      </c>
      <c r="C25" s="2"/>
      <c r="D25" s="2"/>
      <c r="E25" s="2"/>
      <c r="F25" s="2"/>
      <c r="G25" s="2"/>
      <c r="H25" s="2"/>
      <c r="I25" s="2">
        <v>6</v>
      </c>
      <c r="J25" s="2">
        <v>6</v>
      </c>
      <c r="K25" s="2"/>
      <c r="L25" s="2"/>
      <c r="M25" s="2"/>
      <c r="N25" s="2"/>
      <c r="O25" s="2"/>
      <c r="P25" s="2"/>
      <c r="Q25" s="2"/>
    </row>
    <row r="26" spans="1:17" ht="18" customHeight="1" x14ac:dyDescent="0.25">
      <c r="A26" s="4" t="s">
        <v>21</v>
      </c>
      <c r="B26" s="5" t="s">
        <v>63</v>
      </c>
      <c r="C26" s="4"/>
      <c r="D26" s="4" t="s">
        <v>35</v>
      </c>
      <c r="E26" s="4">
        <v>14</v>
      </c>
      <c r="F26" s="4">
        <v>13</v>
      </c>
      <c r="G26" s="4"/>
      <c r="H26" s="4"/>
      <c r="I26" s="4"/>
      <c r="J26" s="4">
        <v>2</v>
      </c>
      <c r="K26" s="4">
        <v>6</v>
      </c>
      <c r="L26" s="4" t="s">
        <v>36</v>
      </c>
      <c r="M26" s="4" t="s">
        <v>25</v>
      </c>
      <c r="N26" s="4" t="s">
        <v>26</v>
      </c>
      <c r="O26" s="4" t="s">
        <v>24</v>
      </c>
      <c r="P26" s="4" t="s">
        <v>54</v>
      </c>
      <c r="Q26" s="4" t="s">
        <v>26</v>
      </c>
    </row>
    <row r="27" spans="1:17" ht="18" customHeight="1" x14ac:dyDescent="0.25">
      <c r="A27" s="4" t="s">
        <v>28</v>
      </c>
      <c r="B27" s="5" t="s">
        <v>64</v>
      </c>
      <c r="C27" s="4"/>
      <c r="D27" s="4" t="s">
        <v>35</v>
      </c>
      <c r="E27" s="4">
        <v>7.5</v>
      </c>
      <c r="F27" s="4">
        <v>6</v>
      </c>
      <c r="G27" s="4"/>
      <c r="H27" s="4"/>
      <c r="I27" s="4"/>
      <c r="J27" s="4">
        <v>1</v>
      </c>
      <c r="K27" s="4">
        <v>6</v>
      </c>
      <c r="L27" s="4" t="s">
        <v>36</v>
      </c>
      <c r="M27" s="4" t="s">
        <v>25</v>
      </c>
      <c r="N27" s="4" t="s">
        <v>26</v>
      </c>
      <c r="O27" s="4" t="s">
        <v>24</v>
      </c>
      <c r="P27" s="4" t="s">
        <v>54</v>
      </c>
      <c r="Q27" s="4" t="s">
        <v>26</v>
      </c>
    </row>
    <row r="28" spans="1:17" ht="18" customHeight="1" x14ac:dyDescent="0.25">
      <c r="A28" s="4" t="s">
        <v>33</v>
      </c>
      <c r="B28" s="5" t="s">
        <v>65</v>
      </c>
      <c r="C28" s="4"/>
      <c r="D28" s="4" t="s">
        <v>23</v>
      </c>
      <c r="E28" s="4">
        <v>31.5</v>
      </c>
      <c r="F28" s="4"/>
      <c r="G28" s="4"/>
      <c r="H28" s="4"/>
      <c r="I28" s="4"/>
      <c r="J28" s="4">
        <v>3</v>
      </c>
      <c r="K28" s="4">
        <v>6</v>
      </c>
      <c r="L28" s="4" t="s">
        <v>36</v>
      </c>
      <c r="M28" s="4" t="s">
        <v>25</v>
      </c>
      <c r="N28" s="4" t="s">
        <v>26</v>
      </c>
      <c r="O28" s="4" t="s">
        <v>24</v>
      </c>
      <c r="P28" s="4" t="s">
        <v>54</v>
      </c>
      <c r="Q28" s="4" t="s">
        <v>26</v>
      </c>
    </row>
    <row r="29" spans="1:17" ht="18" customHeight="1" x14ac:dyDescent="0.25">
      <c r="A29" s="2" t="s">
        <v>39</v>
      </c>
      <c r="B29" s="3" t="s">
        <v>40</v>
      </c>
      <c r="C29" s="2"/>
      <c r="D29" s="2"/>
      <c r="E29" s="2"/>
      <c r="F29" s="2"/>
      <c r="G29" s="2"/>
      <c r="H29" s="2"/>
      <c r="I29" s="2">
        <v>3</v>
      </c>
      <c r="J29" s="2">
        <v>3</v>
      </c>
      <c r="K29" s="2"/>
      <c r="L29" s="2"/>
      <c r="M29" s="2"/>
      <c r="N29" s="2"/>
      <c r="O29" s="2"/>
      <c r="P29" s="2"/>
      <c r="Q29" s="2"/>
    </row>
    <row r="30" spans="1:17" ht="18" customHeight="1" x14ac:dyDescent="0.25">
      <c r="A30" s="4" t="s">
        <v>21</v>
      </c>
      <c r="B30" s="5" t="s">
        <v>66</v>
      </c>
      <c r="C30" s="4"/>
      <c r="D30" s="4" t="s">
        <v>35</v>
      </c>
      <c r="E30" s="4">
        <v>13.5</v>
      </c>
      <c r="F30" s="4"/>
      <c r="G30" s="4"/>
      <c r="H30" s="4"/>
      <c r="I30" s="4"/>
      <c r="J30" s="4">
        <v>1</v>
      </c>
      <c r="K30" s="4">
        <v>6</v>
      </c>
      <c r="L30" s="4" t="s">
        <v>24</v>
      </c>
      <c r="M30" s="4" t="s">
        <v>25</v>
      </c>
      <c r="N30" s="4" t="s">
        <v>26</v>
      </c>
      <c r="O30" s="4" t="s">
        <v>24</v>
      </c>
      <c r="P30" s="4" t="s">
        <v>54</v>
      </c>
      <c r="Q30" s="4" t="s">
        <v>26</v>
      </c>
    </row>
    <row r="31" spans="1:17" ht="18" customHeight="1" x14ac:dyDescent="0.25">
      <c r="A31" s="4" t="s">
        <v>28</v>
      </c>
      <c r="B31" s="5" t="s">
        <v>67</v>
      </c>
      <c r="C31" s="4"/>
      <c r="D31" s="4" t="s">
        <v>35</v>
      </c>
      <c r="E31" s="4">
        <v>21</v>
      </c>
      <c r="F31" s="4"/>
      <c r="G31" s="4"/>
      <c r="H31" s="4"/>
      <c r="I31" s="4"/>
      <c r="J31" s="4">
        <v>1</v>
      </c>
      <c r="K31" s="4">
        <v>6</v>
      </c>
      <c r="L31" s="4" t="s">
        <v>24</v>
      </c>
      <c r="M31" s="4" t="s">
        <v>25</v>
      </c>
      <c r="N31" s="4" t="s">
        <v>26</v>
      </c>
      <c r="O31" s="4" t="s">
        <v>24</v>
      </c>
      <c r="P31" s="4" t="s">
        <v>54</v>
      </c>
      <c r="Q31" s="4" t="s">
        <v>26</v>
      </c>
    </row>
    <row r="32" spans="1:17" ht="18" customHeight="1" x14ac:dyDescent="0.25">
      <c r="A32" s="4" t="s">
        <v>33</v>
      </c>
      <c r="B32" s="5" t="s">
        <v>68</v>
      </c>
      <c r="C32" s="4"/>
      <c r="D32" s="4" t="s">
        <v>35</v>
      </c>
      <c r="E32" s="4">
        <v>13.5</v>
      </c>
      <c r="F32" s="4"/>
      <c r="G32" s="4"/>
      <c r="H32" s="4"/>
      <c r="I32" s="4"/>
      <c r="J32" s="4">
        <v>1</v>
      </c>
      <c r="K32" s="4">
        <v>6</v>
      </c>
      <c r="L32" s="4" t="s">
        <v>24</v>
      </c>
      <c r="M32" s="4" t="s">
        <v>25</v>
      </c>
      <c r="N32" s="4" t="s">
        <v>26</v>
      </c>
      <c r="O32" s="4" t="s">
        <v>24</v>
      </c>
      <c r="P32" s="4" t="s">
        <v>54</v>
      </c>
      <c r="Q32" s="4" t="s">
        <v>26</v>
      </c>
    </row>
    <row r="33" spans="1:17" ht="18" customHeight="1" x14ac:dyDescent="0.25">
      <c r="A33" s="2" t="s">
        <v>44</v>
      </c>
      <c r="B33" s="3" t="s">
        <v>69</v>
      </c>
      <c r="C33" s="2"/>
      <c r="D33" s="2"/>
      <c r="E33" s="2"/>
      <c r="F33" s="2"/>
      <c r="G33" s="2"/>
      <c r="H33" s="2"/>
      <c r="I33" s="2">
        <v>5</v>
      </c>
      <c r="J33" s="2">
        <v>5</v>
      </c>
      <c r="K33" s="2"/>
      <c r="L33" s="2"/>
      <c r="M33" s="2"/>
      <c r="N33" s="2"/>
      <c r="O33" s="2"/>
      <c r="P33" s="2"/>
      <c r="Q33" s="2"/>
    </row>
    <row r="34" spans="1:17" ht="18" customHeight="1" x14ac:dyDescent="0.25">
      <c r="A34" s="4" t="s">
        <v>21</v>
      </c>
      <c r="B34" s="5" t="s">
        <v>70</v>
      </c>
      <c r="C34" s="4"/>
      <c r="D34" s="4" t="s">
        <v>23</v>
      </c>
      <c r="E34" s="4">
        <v>21</v>
      </c>
      <c r="F34" s="4"/>
      <c r="G34" s="4"/>
      <c r="H34" s="4"/>
      <c r="I34" s="4"/>
      <c r="J34" s="4">
        <v>1</v>
      </c>
      <c r="K34" s="4">
        <v>6</v>
      </c>
      <c r="L34" s="4" t="s">
        <v>24</v>
      </c>
      <c r="M34" s="4" t="s">
        <v>25</v>
      </c>
      <c r="N34" s="4" t="s">
        <v>26</v>
      </c>
      <c r="O34" s="4" t="s">
        <v>24</v>
      </c>
      <c r="P34" s="4" t="s">
        <v>54</v>
      </c>
      <c r="Q34" s="4" t="s">
        <v>26</v>
      </c>
    </row>
    <row r="35" spans="1:17" ht="18" customHeight="1" x14ac:dyDescent="0.25">
      <c r="A35" s="4" t="s">
        <v>28</v>
      </c>
      <c r="B35" s="5" t="s">
        <v>71</v>
      </c>
      <c r="C35" s="4"/>
      <c r="D35" s="4" t="s">
        <v>35</v>
      </c>
      <c r="E35" s="4">
        <v>21</v>
      </c>
      <c r="F35" s="4"/>
      <c r="G35" s="4"/>
      <c r="H35" s="4"/>
      <c r="I35" s="4"/>
      <c r="J35" s="4">
        <v>1</v>
      </c>
      <c r="K35" s="4">
        <v>6</v>
      </c>
      <c r="L35" s="4" t="s">
        <v>24</v>
      </c>
      <c r="M35" s="4" t="s">
        <v>25</v>
      </c>
      <c r="N35" s="4" t="s">
        <v>26</v>
      </c>
      <c r="O35" s="4" t="s">
        <v>24</v>
      </c>
      <c r="P35" s="4" t="s">
        <v>54</v>
      </c>
      <c r="Q35" s="4" t="s">
        <v>26</v>
      </c>
    </row>
    <row r="36" spans="1:17" ht="18" customHeight="1" x14ac:dyDescent="0.25">
      <c r="A36" s="4" t="s">
        <v>33</v>
      </c>
      <c r="B36" s="5" t="s">
        <v>72</v>
      </c>
      <c r="C36" s="4"/>
      <c r="D36" s="4" t="s">
        <v>35</v>
      </c>
      <c r="E36" s="4">
        <v>21</v>
      </c>
      <c r="F36" s="4"/>
      <c r="G36" s="4"/>
      <c r="H36" s="4"/>
      <c r="I36" s="4"/>
      <c r="J36" s="4">
        <v>1</v>
      </c>
      <c r="K36" s="4">
        <v>6</v>
      </c>
      <c r="L36" s="4" t="s">
        <v>24</v>
      </c>
      <c r="M36" s="4" t="s">
        <v>25</v>
      </c>
      <c r="N36" s="4" t="s">
        <v>26</v>
      </c>
      <c r="O36" s="4" t="s">
        <v>24</v>
      </c>
      <c r="P36" s="4" t="s">
        <v>54</v>
      </c>
      <c r="Q36" s="4" t="s">
        <v>26</v>
      </c>
    </row>
    <row r="37" spans="1:17" ht="18" customHeight="1" x14ac:dyDescent="0.25">
      <c r="A37" s="4" t="s">
        <v>37</v>
      </c>
      <c r="B37" s="5" t="s">
        <v>73</v>
      </c>
      <c r="C37" s="4"/>
      <c r="D37" s="4" t="s">
        <v>23</v>
      </c>
      <c r="E37" s="4">
        <v>27</v>
      </c>
      <c r="F37" s="4"/>
      <c r="G37" s="4"/>
      <c r="H37" s="4"/>
      <c r="I37" s="4"/>
      <c r="J37" s="4">
        <v>2</v>
      </c>
      <c r="K37" s="4">
        <v>6</v>
      </c>
      <c r="L37" s="4" t="s">
        <v>24</v>
      </c>
      <c r="M37" s="4" t="s">
        <v>25</v>
      </c>
      <c r="N37" s="4" t="s">
        <v>26</v>
      </c>
      <c r="O37" s="4" t="s">
        <v>24</v>
      </c>
      <c r="P37" s="4" t="s">
        <v>54</v>
      </c>
      <c r="Q37" s="4" t="s">
        <v>26</v>
      </c>
    </row>
    <row r="38" spans="1:17" ht="18" customHeight="1" x14ac:dyDescent="0.25">
      <c r="A38" s="2" t="s">
        <v>56</v>
      </c>
      <c r="B38" s="3" t="s">
        <v>74</v>
      </c>
      <c r="C38" s="2"/>
      <c r="D38" s="2"/>
      <c r="E38" s="2"/>
      <c r="F38" s="2"/>
      <c r="G38" s="2"/>
      <c r="H38" s="2"/>
      <c r="I38" s="2">
        <v>2</v>
      </c>
      <c r="J38" s="2">
        <v>2</v>
      </c>
      <c r="K38" s="2"/>
      <c r="L38" s="2"/>
      <c r="M38" s="2"/>
      <c r="N38" s="2"/>
      <c r="O38" s="2"/>
      <c r="P38" s="2"/>
      <c r="Q38" s="2"/>
    </row>
    <row r="39" spans="1:17" ht="18" customHeight="1" x14ac:dyDescent="0.25">
      <c r="A39" s="4" t="s">
        <v>21</v>
      </c>
      <c r="B39" s="5" t="s">
        <v>75</v>
      </c>
      <c r="C39" s="4"/>
      <c r="D39" s="4" t="s">
        <v>35</v>
      </c>
      <c r="E39" s="4">
        <v>18</v>
      </c>
      <c r="F39" s="4"/>
      <c r="G39" s="4">
        <v>18</v>
      </c>
      <c r="H39" s="4"/>
      <c r="I39" s="4"/>
      <c r="J39" s="4">
        <v>1</v>
      </c>
      <c r="K39" s="4">
        <v>6</v>
      </c>
      <c r="L39" s="4" t="s">
        <v>36</v>
      </c>
      <c r="M39" s="4" t="s">
        <v>47</v>
      </c>
      <c r="N39" s="4" t="s">
        <v>26</v>
      </c>
      <c r="O39" s="4" t="s">
        <v>48</v>
      </c>
      <c r="P39" s="4" t="s">
        <v>49</v>
      </c>
      <c r="Q39" s="4" t="s">
        <v>50</v>
      </c>
    </row>
    <row r="40" spans="1:17" ht="25.5" customHeight="1" x14ac:dyDescent="0.25">
      <c r="A40" s="4" t="s">
        <v>28</v>
      </c>
      <c r="B40" s="5" t="s">
        <v>51</v>
      </c>
      <c r="C40" s="4"/>
      <c r="D40" s="4" t="s">
        <v>35</v>
      </c>
      <c r="E40" s="4"/>
      <c r="F40" s="4"/>
      <c r="G40" s="4">
        <v>18</v>
      </c>
      <c r="H40" s="4"/>
      <c r="I40" s="4"/>
      <c r="J40" s="4">
        <v>0</v>
      </c>
      <c r="K40" s="4"/>
      <c r="L40" s="10" t="s">
        <v>52</v>
      </c>
      <c r="M40" s="10"/>
      <c r="N40" s="10"/>
      <c r="O40" s="10"/>
      <c r="P40" s="10"/>
      <c r="Q40" s="10"/>
    </row>
    <row r="41" spans="1:17" ht="18" customHeight="1" x14ac:dyDescent="0.25">
      <c r="A41" s="4" t="s">
        <v>33</v>
      </c>
      <c r="B41" s="5" t="s">
        <v>76</v>
      </c>
      <c r="C41" s="4"/>
      <c r="D41" s="4" t="s">
        <v>35</v>
      </c>
      <c r="E41" s="4">
        <v>16.5</v>
      </c>
      <c r="F41" s="4">
        <v>8</v>
      </c>
      <c r="G41" s="4"/>
      <c r="H41" s="4"/>
      <c r="I41" s="4"/>
      <c r="J41" s="4">
        <v>1</v>
      </c>
      <c r="K41" s="4">
        <v>6</v>
      </c>
      <c r="L41" s="4" t="s">
        <v>36</v>
      </c>
      <c r="M41" s="4" t="s">
        <v>25</v>
      </c>
      <c r="N41" s="4" t="s">
        <v>26</v>
      </c>
      <c r="O41" s="4" t="s">
        <v>36</v>
      </c>
      <c r="P41" s="4" t="s">
        <v>25</v>
      </c>
      <c r="Q41" s="4" t="s">
        <v>77</v>
      </c>
    </row>
    <row r="42" spans="1:17" ht="18" customHeight="1" x14ac:dyDescent="0.25">
      <c r="A42" s="2" t="s">
        <v>78</v>
      </c>
      <c r="B42" s="3" t="s">
        <v>79</v>
      </c>
      <c r="C42" s="2"/>
      <c r="D42" s="2"/>
      <c r="E42" s="2"/>
      <c r="F42" s="2"/>
      <c r="G42" s="2"/>
      <c r="H42" s="2"/>
      <c r="I42" s="2">
        <v>3</v>
      </c>
      <c r="J42" s="2">
        <v>3</v>
      </c>
      <c r="K42" s="2"/>
      <c r="L42" s="2"/>
      <c r="M42" s="2"/>
      <c r="N42" s="2"/>
      <c r="O42" s="2"/>
      <c r="P42" s="2"/>
      <c r="Q42" s="2"/>
    </row>
    <row r="43" spans="1:17" ht="18" customHeight="1" x14ac:dyDescent="0.25">
      <c r="A43" s="4" t="s">
        <v>58</v>
      </c>
      <c r="B43" s="5" t="s">
        <v>80</v>
      </c>
      <c r="C43" s="4"/>
      <c r="D43" s="4" t="s">
        <v>35</v>
      </c>
      <c r="E43" s="4">
        <v>3</v>
      </c>
      <c r="F43" s="4"/>
      <c r="G43" s="4"/>
      <c r="H43" s="4">
        <v>40</v>
      </c>
      <c r="I43" s="4"/>
      <c r="J43" s="4">
        <v>2</v>
      </c>
      <c r="K43" s="4"/>
      <c r="L43" s="4" t="s">
        <v>36</v>
      </c>
      <c r="M43" s="4" t="s">
        <v>47</v>
      </c>
      <c r="N43" s="4" t="s">
        <v>26</v>
      </c>
      <c r="O43" s="4" t="s">
        <v>36</v>
      </c>
      <c r="P43" s="4" t="s">
        <v>54</v>
      </c>
      <c r="Q43" s="4" t="s">
        <v>26</v>
      </c>
    </row>
    <row r="44" spans="1:17" ht="18" customHeight="1" x14ac:dyDescent="0.25">
      <c r="A44" s="4" t="s">
        <v>21</v>
      </c>
      <c r="B44" s="5" t="s">
        <v>81</v>
      </c>
      <c r="C44" s="4"/>
      <c r="D44" s="4" t="s">
        <v>35</v>
      </c>
      <c r="E44" s="4">
        <v>3</v>
      </c>
      <c r="F44" s="4"/>
      <c r="G44" s="4"/>
      <c r="H44" s="4"/>
      <c r="I44" s="4"/>
      <c r="J44" s="4">
        <v>1</v>
      </c>
      <c r="K44" s="4">
        <v>6</v>
      </c>
      <c r="L44" s="4" t="s">
        <v>36</v>
      </c>
      <c r="M44" s="4" t="s">
        <v>54</v>
      </c>
      <c r="N44" s="4" t="s">
        <v>26</v>
      </c>
      <c r="O44" s="4" t="s">
        <v>24</v>
      </c>
      <c r="P44" s="4" t="s">
        <v>54</v>
      </c>
      <c r="Q44" s="4" t="s">
        <v>26</v>
      </c>
    </row>
    <row r="45" spans="1:17" ht="18" customHeight="1" x14ac:dyDescent="0.25">
      <c r="A45" s="2" t="s">
        <v>82</v>
      </c>
      <c r="B45" s="3" t="s">
        <v>57</v>
      </c>
      <c r="C45" s="2"/>
      <c r="D45" s="2"/>
      <c r="E45" s="2"/>
      <c r="F45" s="2"/>
      <c r="G45" s="2"/>
      <c r="H45" s="2"/>
      <c r="I45" s="2">
        <v>11</v>
      </c>
      <c r="J45" s="2">
        <v>11</v>
      </c>
      <c r="K45" s="2"/>
      <c r="L45" s="2"/>
      <c r="M45" s="2"/>
      <c r="N45" s="2"/>
      <c r="O45" s="2"/>
      <c r="P45" s="2"/>
      <c r="Q45" s="2"/>
    </row>
    <row r="46" spans="1:17" ht="18" customHeight="1" x14ac:dyDescent="0.25">
      <c r="A46" s="4" t="s">
        <v>58</v>
      </c>
      <c r="B46" s="5" t="s">
        <v>59</v>
      </c>
      <c r="C46" s="4"/>
      <c r="D46" s="4"/>
      <c r="E46" s="4"/>
      <c r="F46" s="4"/>
      <c r="G46" s="4"/>
      <c r="H46" s="4"/>
      <c r="I46" s="4"/>
      <c r="J46" s="4">
        <v>11</v>
      </c>
      <c r="K46" s="4">
        <v>12</v>
      </c>
      <c r="L46" s="4" t="s">
        <v>36</v>
      </c>
      <c r="M46" s="4" t="s">
        <v>47</v>
      </c>
      <c r="N46" s="4" t="s">
        <v>26</v>
      </c>
      <c r="O46" s="4" t="s">
        <v>36</v>
      </c>
      <c r="P46" s="4" t="s">
        <v>54</v>
      </c>
      <c r="Q46" s="4" t="s">
        <v>26</v>
      </c>
    </row>
    <row r="47" spans="1:17" ht="15" customHeight="1" x14ac:dyDescent="0.25">
      <c r="A47" s="11" t="s">
        <v>60</v>
      </c>
      <c r="B47" s="11"/>
      <c r="C47" s="11"/>
      <c r="D47" s="11"/>
      <c r="E47" s="6">
        <f>SUM(E25:E46)</f>
        <v>231.5</v>
      </c>
      <c r="F47" s="6">
        <f>SUM(F25:F46)</f>
        <v>27</v>
      </c>
      <c r="G47" s="6">
        <f>SUM(G25:G46)</f>
        <v>36</v>
      </c>
      <c r="H47" s="6">
        <f>SUM(H25:H46)</f>
        <v>40</v>
      </c>
      <c r="I47" s="6">
        <f>SUM(I25:I46)</f>
        <v>30</v>
      </c>
      <c r="J47" s="6"/>
      <c r="K47" s="6"/>
      <c r="L47" s="6"/>
      <c r="M47" s="6"/>
      <c r="N47" s="6"/>
      <c r="O47" s="6"/>
      <c r="P47" s="6"/>
      <c r="Q47" s="6"/>
    </row>
    <row r="49" spans="1:17" ht="15" customHeight="1" x14ac:dyDescent="0.25">
      <c r="A49" s="19" t="s">
        <v>83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</row>
    <row r="50" spans="1:17" ht="15" customHeight="1" x14ac:dyDescent="0.25">
      <c r="A50" s="18" t="s">
        <v>84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spans="1:17" ht="15" customHeight="1" x14ac:dyDescent="0.25">
      <c r="A51" s="18" t="s">
        <v>85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spans="1:17" ht="15" customHeight="1" x14ac:dyDescent="0.25">
      <c r="A52" s="18" t="s">
        <v>86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</row>
    <row r="53" spans="1:17" ht="15" customHeight="1" x14ac:dyDescent="0.25">
      <c r="A53" s="18" t="s">
        <v>87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</row>
    <row r="54" spans="1:17" ht="1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</row>
    <row r="55" spans="1:17" ht="15" customHeight="1" x14ac:dyDescent="0.25">
      <c r="A55" s="19" t="s">
        <v>88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</row>
    <row r="56" spans="1:17" ht="15" customHeight="1" x14ac:dyDescent="0.25">
      <c r="A56" s="18" t="s">
        <v>89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</row>
    <row r="57" spans="1:17" ht="15" customHeight="1" x14ac:dyDescent="0.25">
      <c r="A57" s="18" t="s">
        <v>90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</row>
    <row r="58" spans="1:17" ht="15" customHeight="1" x14ac:dyDescent="0.25">
      <c r="A58" s="18" t="s">
        <v>91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</row>
    <row r="59" spans="1:17" ht="15" customHeight="1" x14ac:dyDescent="0.25">
      <c r="A59" s="18" t="s">
        <v>92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</row>
    <row r="60" spans="1:17" ht="15" customHeight="1" x14ac:dyDescent="0.25">
      <c r="A60" s="18" t="s">
        <v>93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</row>
    <row r="61" spans="1:17" ht="15" customHeight="1" x14ac:dyDescent="0.25">
      <c r="A61" s="18" t="s">
        <v>94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</row>
  </sheetData>
  <mergeCells count="39">
    <mergeCell ref="A1:Q1"/>
    <mergeCell ref="A2:Q2"/>
    <mergeCell ref="A4:A5"/>
    <mergeCell ref="B4:B5"/>
    <mergeCell ref="C4:C5"/>
    <mergeCell ref="D4:D5"/>
    <mergeCell ref="E4:H4"/>
    <mergeCell ref="I4:I5"/>
    <mergeCell ref="J4:J5"/>
    <mergeCell ref="K4:K5"/>
    <mergeCell ref="L4:N4"/>
    <mergeCell ref="O4:Q4"/>
    <mergeCell ref="L17:Q17"/>
    <mergeCell ref="A21:D21"/>
    <mergeCell ref="A23:A24"/>
    <mergeCell ref="B23:B24"/>
    <mergeCell ref="C23:C24"/>
    <mergeCell ref="D23:D24"/>
    <mergeCell ref="E23:H23"/>
    <mergeCell ref="I23:I24"/>
    <mergeCell ref="J23:J24"/>
    <mergeCell ref="K23:K24"/>
    <mergeCell ref="L23:N23"/>
    <mergeCell ref="O23:Q23"/>
    <mergeCell ref="L40:Q40"/>
    <mergeCell ref="A47:D47"/>
    <mergeCell ref="A49:Q49"/>
    <mergeCell ref="A50:Q50"/>
    <mergeCell ref="A51:Q51"/>
    <mergeCell ref="A52:Q52"/>
    <mergeCell ref="A53:Q53"/>
    <mergeCell ref="A54:Q54"/>
    <mergeCell ref="A55:Q55"/>
    <mergeCell ref="A56:Q56"/>
    <mergeCell ref="A57:Q57"/>
    <mergeCell ref="A58:Q58"/>
    <mergeCell ref="A59:Q59"/>
    <mergeCell ref="A60:Q60"/>
    <mergeCell ref="A61:Q61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5FE44-84A1-4C40-9970-81FFAF7A3E6E}">
  <dimension ref="A1:R21"/>
  <sheetViews>
    <sheetView topLeftCell="A3" workbookViewId="0">
      <selection activeCell="I15" sqref="I15:I18"/>
    </sheetView>
  </sheetViews>
  <sheetFormatPr defaultRowHeight="15" x14ac:dyDescent="0.25"/>
  <cols>
    <col min="1" max="1" width="10.42578125" bestFit="1" customWidth="1"/>
    <col min="2" max="2" width="32.140625" bestFit="1" customWidth="1"/>
    <col min="3" max="3" width="11.85546875" bestFit="1" customWidth="1"/>
    <col min="4" max="4" width="7.85546875" bestFit="1" customWidth="1"/>
    <col min="5" max="5" width="7.42578125" customWidth="1"/>
    <col min="6" max="6" width="3.42578125" bestFit="1" customWidth="1"/>
    <col min="7" max="7" width="4.42578125" bestFit="1" customWidth="1"/>
    <col min="8" max="8" width="4.42578125" customWidth="1"/>
    <col min="9" max="9" width="12.42578125" bestFit="1" customWidth="1"/>
    <col min="10" max="10" width="5.28515625" bestFit="1" customWidth="1"/>
    <col min="11" max="11" width="4.7109375" bestFit="1" customWidth="1"/>
    <col min="12" max="12" width="9" bestFit="1" customWidth="1"/>
    <col min="13" max="13" width="8.42578125" bestFit="1" customWidth="1"/>
    <col min="14" max="14" width="10.42578125" bestFit="1" customWidth="1"/>
    <col min="15" max="15" width="10" bestFit="1" customWidth="1"/>
    <col min="16" max="16" width="8.42578125" bestFit="1" customWidth="1"/>
    <col min="17" max="17" width="10.42578125" bestFit="1" customWidth="1"/>
    <col min="18" max="18" width="43.140625" bestFit="1" customWidth="1"/>
  </cols>
  <sheetData>
    <row r="1" spans="1:18" ht="15.75" customHeight="1" x14ac:dyDescent="0.25">
      <c r="A1" s="9" t="s">
        <v>2</v>
      </c>
      <c r="B1" s="9" t="s">
        <v>3</v>
      </c>
      <c r="C1" s="9" t="s">
        <v>4</v>
      </c>
      <c r="D1" s="9" t="s">
        <v>5</v>
      </c>
      <c r="E1" s="17" t="s">
        <v>6</v>
      </c>
      <c r="F1" s="22"/>
      <c r="G1" s="23"/>
      <c r="H1" s="9"/>
      <c r="I1" s="12" t="s">
        <v>95</v>
      </c>
      <c r="J1" s="9" t="s">
        <v>7</v>
      </c>
      <c r="K1" s="9" t="s">
        <v>8</v>
      </c>
      <c r="L1" s="9" t="s">
        <v>9</v>
      </c>
      <c r="M1" s="17" t="s">
        <v>10</v>
      </c>
      <c r="N1" s="22"/>
      <c r="O1" s="23"/>
      <c r="P1" s="17" t="s">
        <v>11</v>
      </c>
      <c r="Q1" s="22"/>
      <c r="R1" s="22"/>
    </row>
    <row r="2" spans="1:18" ht="27.75" customHeight="1" x14ac:dyDescent="0.25">
      <c r="A2" s="14"/>
      <c r="B2" s="14"/>
      <c r="C2" s="14"/>
      <c r="D2" s="14"/>
      <c r="E2" s="1" t="s">
        <v>12</v>
      </c>
      <c r="F2" s="1" t="s">
        <v>13</v>
      </c>
      <c r="G2" s="1" t="s">
        <v>14</v>
      </c>
      <c r="H2" s="14"/>
      <c r="I2" s="13"/>
      <c r="J2" s="14"/>
      <c r="K2" s="14"/>
      <c r="L2" s="14"/>
      <c r="M2" s="1" t="s">
        <v>16</v>
      </c>
      <c r="N2" s="1" t="s">
        <v>17</v>
      </c>
      <c r="O2" s="1" t="s">
        <v>18</v>
      </c>
      <c r="P2" s="1" t="s">
        <v>16</v>
      </c>
      <c r="Q2" s="1" t="s">
        <v>17</v>
      </c>
      <c r="R2" s="1" t="s">
        <v>18</v>
      </c>
    </row>
    <row r="3" spans="1:18" ht="18" customHeight="1" x14ac:dyDescent="0.25">
      <c r="A3" s="2" t="s">
        <v>19</v>
      </c>
      <c r="B3" s="3" t="s">
        <v>20</v>
      </c>
      <c r="C3" s="2"/>
      <c r="D3" s="2"/>
      <c r="E3" s="2"/>
      <c r="F3" s="2"/>
      <c r="G3" s="2"/>
      <c r="H3" s="2"/>
      <c r="I3" s="2"/>
      <c r="J3" s="2">
        <v>10</v>
      </c>
      <c r="K3" s="2">
        <v>10</v>
      </c>
      <c r="L3" s="2"/>
      <c r="M3" s="2"/>
      <c r="N3" s="2"/>
      <c r="O3" s="2"/>
      <c r="P3" s="2"/>
      <c r="Q3" s="2"/>
      <c r="R3" s="2"/>
    </row>
    <row r="4" spans="1:18" ht="25.5" customHeight="1" x14ac:dyDescent="0.25">
      <c r="A4" s="4" t="s">
        <v>21</v>
      </c>
      <c r="B4" s="5" t="s">
        <v>22</v>
      </c>
      <c r="C4" s="4"/>
      <c r="D4" s="4" t="s">
        <v>23</v>
      </c>
      <c r="E4" s="4">
        <v>31.5</v>
      </c>
      <c r="F4" s="4"/>
      <c r="G4" s="4"/>
      <c r="H4" s="4"/>
      <c r="I4" s="8">
        <v>7</v>
      </c>
      <c r="J4" s="4"/>
      <c r="K4" s="4">
        <v>3</v>
      </c>
      <c r="L4" s="4">
        <v>6</v>
      </c>
      <c r="M4" s="4" t="s">
        <v>24</v>
      </c>
      <c r="N4" s="4" t="s">
        <v>25</v>
      </c>
      <c r="O4" s="4" t="s">
        <v>26</v>
      </c>
      <c r="P4" s="4" t="s">
        <v>24</v>
      </c>
      <c r="Q4" s="4" t="s">
        <v>27</v>
      </c>
      <c r="R4" s="4" t="s">
        <v>26</v>
      </c>
    </row>
    <row r="5" spans="1:18" ht="18" customHeight="1" x14ac:dyDescent="0.25">
      <c r="A5" s="4" t="s">
        <v>28</v>
      </c>
      <c r="B5" s="5" t="s">
        <v>29</v>
      </c>
      <c r="C5" s="4"/>
      <c r="D5" s="4" t="s">
        <v>23</v>
      </c>
      <c r="E5" s="4">
        <v>22.5</v>
      </c>
      <c r="F5" s="4"/>
      <c r="G5" s="4"/>
      <c r="H5" s="4"/>
      <c r="I5" s="8">
        <v>8.5</v>
      </c>
      <c r="J5" s="4"/>
      <c r="K5" s="4">
        <v>3</v>
      </c>
      <c r="L5" s="4">
        <v>6</v>
      </c>
      <c r="M5" s="4" t="s">
        <v>30</v>
      </c>
      <c r="N5" s="4" t="s">
        <v>25</v>
      </c>
      <c r="O5" s="4" t="s">
        <v>31</v>
      </c>
      <c r="P5" s="4" t="s">
        <v>30</v>
      </c>
      <c r="Q5" s="4" t="s">
        <v>27</v>
      </c>
      <c r="R5" s="4" t="s">
        <v>32</v>
      </c>
    </row>
    <row r="6" spans="1:18" ht="18" customHeight="1" x14ac:dyDescent="0.25">
      <c r="A6" s="4" t="s">
        <v>33</v>
      </c>
      <c r="B6" s="5" t="s">
        <v>34</v>
      </c>
      <c r="C6" s="4"/>
      <c r="D6" s="4" t="s">
        <v>35</v>
      </c>
      <c r="E6" s="4">
        <v>12</v>
      </c>
      <c r="F6" s="4">
        <v>12</v>
      </c>
      <c r="G6" s="4"/>
      <c r="H6" s="4"/>
      <c r="I6" s="8">
        <v>14</v>
      </c>
      <c r="J6" s="4"/>
      <c r="K6" s="4">
        <v>2</v>
      </c>
      <c r="L6" s="4">
        <v>6</v>
      </c>
      <c r="M6" s="4" t="s">
        <v>36</v>
      </c>
      <c r="N6" s="4" t="s">
        <v>25</v>
      </c>
      <c r="O6" s="4" t="s">
        <v>26</v>
      </c>
      <c r="P6" s="4" t="s">
        <v>24</v>
      </c>
      <c r="Q6" s="4" t="s">
        <v>27</v>
      </c>
      <c r="R6" s="4" t="s">
        <v>26</v>
      </c>
    </row>
    <row r="7" spans="1:18" ht="18" customHeight="1" x14ac:dyDescent="0.25">
      <c r="A7" s="4" t="s">
        <v>37</v>
      </c>
      <c r="B7" s="5" t="s">
        <v>38</v>
      </c>
      <c r="C7" s="4"/>
      <c r="D7" s="4" t="s">
        <v>35</v>
      </c>
      <c r="E7" s="4">
        <v>12</v>
      </c>
      <c r="F7" s="4">
        <v>12</v>
      </c>
      <c r="G7" s="4"/>
      <c r="H7" s="4"/>
      <c r="I7" s="8">
        <v>14</v>
      </c>
      <c r="J7" s="4"/>
      <c r="K7" s="4">
        <v>2</v>
      </c>
      <c r="L7" s="4">
        <v>6</v>
      </c>
      <c r="M7" s="4" t="s">
        <v>36</v>
      </c>
      <c r="N7" s="4" t="s">
        <v>25</v>
      </c>
      <c r="O7" s="4" t="s">
        <v>26</v>
      </c>
      <c r="P7" s="4" t="s">
        <v>24</v>
      </c>
      <c r="Q7" s="4" t="s">
        <v>27</v>
      </c>
      <c r="R7" s="4" t="s">
        <v>26</v>
      </c>
    </row>
    <row r="8" spans="1:18" ht="18" customHeight="1" x14ac:dyDescent="0.25">
      <c r="A8" s="15" t="s">
        <v>96</v>
      </c>
      <c r="B8" s="16"/>
      <c r="C8" s="4"/>
      <c r="D8" s="4"/>
      <c r="E8" s="4"/>
      <c r="F8" s="4"/>
      <c r="G8" s="4"/>
      <c r="H8" s="4"/>
      <c r="I8" s="7">
        <f>(I7*K7+I6*K6+I5*K5+I4*K4)/K3</f>
        <v>10.25</v>
      </c>
      <c r="J8" s="4"/>
      <c r="K8" s="4"/>
      <c r="L8" s="4"/>
      <c r="M8" s="4"/>
      <c r="N8" s="4"/>
      <c r="O8" s="4"/>
      <c r="P8" s="4"/>
      <c r="Q8" s="4"/>
      <c r="R8" s="4"/>
    </row>
    <row r="9" spans="1:18" ht="18" customHeight="1" x14ac:dyDescent="0.25">
      <c r="A9" s="2" t="s">
        <v>39</v>
      </c>
      <c r="B9" s="3" t="s">
        <v>40</v>
      </c>
      <c r="C9" s="2"/>
      <c r="D9" s="2"/>
      <c r="E9" s="2"/>
      <c r="F9" s="2"/>
      <c r="G9" s="2"/>
      <c r="H9" s="2"/>
      <c r="I9" s="2"/>
      <c r="J9" s="2">
        <v>8</v>
      </c>
      <c r="K9" s="2">
        <v>8</v>
      </c>
      <c r="L9" s="2"/>
      <c r="M9" s="2"/>
      <c r="N9" s="2"/>
      <c r="O9" s="2"/>
      <c r="P9" s="2"/>
      <c r="Q9" s="2"/>
      <c r="R9" s="2"/>
    </row>
    <row r="10" spans="1:18" ht="18" customHeight="1" x14ac:dyDescent="0.25">
      <c r="A10" s="4" t="s">
        <v>21</v>
      </c>
      <c r="B10" s="5" t="s">
        <v>41</v>
      </c>
      <c r="C10" s="4"/>
      <c r="D10" s="4" t="s">
        <v>23</v>
      </c>
      <c r="E10" s="4">
        <v>31.5</v>
      </c>
      <c r="F10" s="4"/>
      <c r="G10" s="4"/>
      <c r="H10" s="4"/>
      <c r="I10" s="8">
        <v>13</v>
      </c>
      <c r="J10" s="4"/>
      <c r="K10" s="4">
        <v>3</v>
      </c>
      <c r="L10" s="4">
        <v>6</v>
      </c>
      <c r="M10" s="4" t="s">
        <v>24</v>
      </c>
      <c r="N10" s="4" t="s">
        <v>25</v>
      </c>
      <c r="O10" s="4" t="s">
        <v>26</v>
      </c>
      <c r="P10" s="4" t="s">
        <v>24</v>
      </c>
      <c r="Q10" s="4" t="s">
        <v>27</v>
      </c>
      <c r="R10" s="4" t="s">
        <v>26</v>
      </c>
    </row>
    <row r="11" spans="1:18" ht="25.5" customHeight="1" x14ac:dyDescent="0.25">
      <c r="A11" s="4" t="s">
        <v>28</v>
      </c>
      <c r="B11" s="5" t="s">
        <v>42</v>
      </c>
      <c r="C11" s="4"/>
      <c r="D11" s="4" t="s">
        <v>35</v>
      </c>
      <c r="E11" s="4">
        <v>24</v>
      </c>
      <c r="F11" s="4"/>
      <c r="G11" s="4"/>
      <c r="H11" s="4"/>
      <c r="I11" s="8">
        <v>8</v>
      </c>
      <c r="J11" s="4"/>
      <c r="K11" s="4">
        <v>2.5</v>
      </c>
      <c r="L11" s="4">
        <v>6</v>
      </c>
      <c r="M11" s="4" t="s">
        <v>36</v>
      </c>
      <c r="N11" s="4" t="s">
        <v>25</v>
      </c>
      <c r="O11" s="4" t="s">
        <v>26</v>
      </c>
      <c r="P11" s="4" t="s">
        <v>24</v>
      </c>
      <c r="Q11" s="4" t="s">
        <v>27</v>
      </c>
      <c r="R11" s="4" t="s">
        <v>26</v>
      </c>
    </row>
    <row r="12" spans="1:18" ht="18" customHeight="1" x14ac:dyDescent="0.25">
      <c r="A12" s="4" t="s">
        <v>33</v>
      </c>
      <c r="B12" s="5" t="s">
        <v>43</v>
      </c>
      <c r="C12" s="4"/>
      <c r="D12" s="4" t="s">
        <v>23</v>
      </c>
      <c r="E12" s="4">
        <v>24</v>
      </c>
      <c r="F12" s="4"/>
      <c r="G12" s="4"/>
      <c r="H12" s="4"/>
      <c r="I12" s="8">
        <v>9</v>
      </c>
      <c r="J12" s="4"/>
      <c r="K12" s="4">
        <v>2.5</v>
      </c>
      <c r="L12" s="4">
        <v>6</v>
      </c>
      <c r="M12" s="4" t="s">
        <v>24</v>
      </c>
      <c r="N12" s="4" t="s">
        <v>25</v>
      </c>
      <c r="O12" s="4" t="s">
        <v>26</v>
      </c>
      <c r="P12" s="4" t="s">
        <v>24</v>
      </c>
      <c r="Q12" s="4" t="s">
        <v>27</v>
      </c>
      <c r="R12" s="4" t="s">
        <v>26</v>
      </c>
    </row>
    <row r="13" spans="1:18" ht="18" customHeight="1" x14ac:dyDescent="0.25">
      <c r="A13" s="15" t="s">
        <v>96</v>
      </c>
      <c r="B13" s="16"/>
      <c r="C13" s="4"/>
      <c r="D13" s="4"/>
      <c r="E13" s="4"/>
      <c r="F13" s="4"/>
      <c r="G13" s="4"/>
      <c r="H13" s="4"/>
      <c r="I13" s="7">
        <f>(I12*K12+K11*I11+I10*K10)/K9</f>
        <v>10.1875</v>
      </c>
      <c r="J13" s="4"/>
      <c r="K13" s="4"/>
      <c r="L13" s="4"/>
      <c r="M13" s="4"/>
      <c r="N13" s="4"/>
      <c r="O13" s="4"/>
      <c r="P13" s="4"/>
      <c r="Q13" s="4"/>
      <c r="R13" s="4"/>
    </row>
    <row r="14" spans="1:18" ht="18" customHeight="1" x14ac:dyDescent="0.25">
      <c r="A14" s="2" t="s">
        <v>44</v>
      </c>
      <c r="B14" s="3" t="s">
        <v>45</v>
      </c>
      <c r="C14" s="2"/>
      <c r="D14" s="2"/>
      <c r="E14" s="2"/>
      <c r="F14" s="2"/>
      <c r="G14" s="2"/>
      <c r="H14" s="2"/>
      <c r="I14" s="2"/>
      <c r="J14" s="2">
        <v>2</v>
      </c>
      <c r="K14" s="2">
        <v>2</v>
      </c>
      <c r="L14" s="2"/>
      <c r="M14" s="2"/>
      <c r="N14" s="2"/>
      <c r="O14" s="2"/>
      <c r="P14" s="2"/>
      <c r="Q14" s="2"/>
      <c r="R14" s="2"/>
    </row>
    <row r="15" spans="1:18" ht="18" customHeight="1" x14ac:dyDescent="0.25">
      <c r="A15" s="4" t="s">
        <v>21</v>
      </c>
      <c r="B15" s="5" t="s">
        <v>46</v>
      </c>
      <c r="C15" s="4"/>
      <c r="D15" s="4" t="s">
        <v>35</v>
      </c>
      <c r="E15" s="4">
        <v>18</v>
      </c>
      <c r="F15" s="4"/>
      <c r="G15" s="4">
        <v>18</v>
      </c>
      <c r="H15" s="4"/>
      <c r="I15" s="8">
        <v>10</v>
      </c>
      <c r="J15" s="4"/>
      <c r="K15" s="4">
        <v>1</v>
      </c>
      <c r="L15" s="4">
        <v>6</v>
      </c>
      <c r="M15" s="4" t="s">
        <v>36</v>
      </c>
      <c r="N15" s="4" t="s">
        <v>47</v>
      </c>
      <c r="O15" s="4" t="s">
        <v>26</v>
      </c>
      <c r="P15" s="4" t="s">
        <v>48</v>
      </c>
      <c r="Q15" s="4" t="s">
        <v>49</v>
      </c>
      <c r="R15" s="4" t="s">
        <v>50</v>
      </c>
    </row>
    <row r="16" spans="1:18" ht="25.5" customHeight="1" x14ac:dyDescent="0.25">
      <c r="A16" s="4" t="s">
        <v>28</v>
      </c>
      <c r="B16" s="5" t="s">
        <v>51</v>
      </c>
      <c r="C16" s="4"/>
      <c r="D16" s="4" t="s">
        <v>35</v>
      </c>
      <c r="E16" s="4"/>
      <c r="F16" s="4"/>
      <c r="G16" s="4">
        <v>18</v>
      </c>
      <c r="H16" s="4"/>
      <c r="I16" s="4"/>
      <c r="J16" s="4"/>
      <c r="K16" s="4">
        <v>0</v>
      </c>
      <c r="L16" s="4"/>
      <c r="M16" s="27" t="s">
        <v>52</v>
      </c>
      <c r="N16" s="28"/>
      <c r="O16" s="28"/>
      <c r="P16" s="28"/>
      <c r="Q16" s="28"/>
      <c r="R16" s="29"/>
    </row>
    <row r="17" spans="1:18" ht="18" customHeight="1" x14ac:dyDescent="0.25">
      <c r="A17" s="4" t="s">
        <v>33</v>
      </c>
      <c r="B17" s="5" t="s">
        <v>53</v>
      </c>
      <c r="C17" s="4"/>
      <c r="D17" s="4" t="s">
        <v>35</v>
      </c>
      <c r="E17" s="4">
        <v>10.5</v>
      </c>
      <c r="F17" s="4"/>
      <c r="G17" s="4">
        <v>10.5</v>
      </c>
      <c r="H17" s="4"/>
      <c r="I17" s="8">
        <v>10</v>
      </c>
      <c r="J17" s="4"/>
      <c r="K17" s="4">
        <v>1</v>
      </c>
      <c r="L17" s="4">
        <v>6</v>
      </c>
      <c r="M17" s="4" t="s">
        <v>36</v>
      </c>
      <c r="N17" s="4" t="s">
        <v>25</v>
      </c>
      <c r="O17" s="4" t="s">
        <v>26</v>
      </c>
      <c r="P17" s="4" t="s">
        <v>36</v>
      </c>
      <c r="Q17" s="4" t="s">
        <v>54</v>
      </c>
      <c r="R17" s="4" t="s">
        <v>55</v>
      </c>
    </row>
    <row r="18" spans="1:18" ht="18" customHeight="1" x14ac:dyDescent="0.25">
      <c r="A18" s="15" t="s">
        <v>96</v>
      </c>
      <c r="B18" s="16"/>
      <c r="C18" s="4"/>
      <c r="D18" s="4"/>
      <c r="E18" s="4"/>
      <c r="F18" s="4"/>
      <c r="G18" s="4"/>
      <c r="H18" s="4"/>
      <c r="I18" s="7">
        <f>(I17+I15)/2</f>
        <v>10</v>
      </c>
      <c r="J18" s="4"/>
      <c r="K18" s="4"/>
      <c r="L18" s="4"/>
      <c r="M18" s="4"/>
      <c r="N18" s="4"/>
      <c r="O18" s="4"/>
      <c r="P18" s="4"/>
      <c r="Q18" s="4"/>
      <c r="R18" s="4"/>
    </row>
    <row r="19" spans="1:18" ht="18" customHeight="1" x14ac:dyDescent="0.25">
      <c r="A19" s="2" t="s">
        <v>56</v>
      </c>
      <c r="B19" s="3" t="s">
        <v>57</v>
      </c>
      <c r="C19" s="2"/>
      <c r="D19" s="2"/>
      <c r="E19" s="2"/>
      <c r="F19" s="2"/>
      <c r="G19" s="2"/>
      <c r="H19" s="2"/>
      <c r="I19" s="2"/>
      <c r="J19" s="2">
        <v>10</v>
      </c>
      <c r="K19" s="2">
        <v>10</v>
      </c>
      <c r="L19" s="2"/>
      <c r="M19" s="2"/>
      <c r="N19" s="2"/>
      <c r="O19" s="2"/>
      <c r="P19" s="2"/>
      <c r="Q19" s="2"/>
      <c r="R19" s="2"/>
    </row>
    <row r="20" spans="1:18" ht="18" customHeight="1" thickBot="1" x14ac:dyDescent="0.3">
      <c r="A20" s="4" t="s">
        <v>58</v>
      </c>
      <c r="B20" s="5" t="s">
        <v>59</v>
      </c>
      <c r="C20" s="4"/>
      <c r="D20" s="4"/>
      <c r="E20" s="4"/>
      <c r="F20" s="4"/>
      <c r="G20" s="4"/>
      <c r="H20" s="4"/>
      <c r="I20" s="8">
        <v>10</v>
      </c>
      <c r="J20" s="4"/>
      <c r="K20" s="4">
        <v>10</v>
      </c>
      <c r="L20" s="4">
        <v>12</v>
      </c>
      <c r="M20" s="4" t="s">
        <v>36</v>
      </c>
      <c r="N20" s="4" t="s">
        <v>25</v>
      </c>
      <c r="O20" s="4" t="s">
        <v>26</v>
      </c>
      <c r="P20" s="4" t="s">
        <v>36</v>
      </c>
      <c r="Q20" s="4" t="s">
        <v>54</v>
      </c>
      <c r="R20" s="4" t="s">
        <v>26</v>
      </c>
    </row>
    <row r="21" spans="1:18" ht="15" customHeight="1" thickBot="1" x14ac:dyDescent="0.3">
      <c r="A21" s="24" t="s">
        <v>60</v>
      </c>
      <c r="B21" s="25"/>
      <c r="C21" s="25"/>
      <c r="D21" s="26"/>
      <c r="E21" s="6">
        <f>SUM(E3:E20)</f>
        <v>186</v>
      </c>
      <c r="F21" s="6">
        <f>SUM(F3:F20)</f>
        <v>24</v>
      </c>
      <c r="G21" s="6">
        <f>SUM(G3:G20)</f>
        <v>46.5</v>
      </c>
      <c r="H21" s="6"/>
      <c r="I21" s="6"/>
      <c r="J21" s="6">
        <f>SUM(J3:J20)</f>
        <v>30</v>
      </c>
      <c r="K21" s="6"/>
      <c r="L21" s="6"/>
      <c r="M21" s="6"/>
      <c r="N21" s="6"/>
      <c r="O21" s="6"/>
      <c r="P21" s="6"/>
      <c r="Q21" s="6"/>
      <c r="R21" s="6"/>
    </row>
  </sheetData>
  <mergeCells count="17">
    <mergeCell ref="C1:C2"/>
    <mergeCell ref="D1:D2"/>
    <mergeCell ref="M16:R16"/>
    <mergeCell ref="A21:D21"/>
    <mergeCell ref="I1:I2"/>
    <mergeCell ref="H1:H2"/>
    <mergeCell ref="A8:B8"/>
    <mergeCell ref="A13:B13"/>
    <mergeCell ref="A18:B18"/>
    <mergeCell ref="E1:G1"/>
    <mergeCell ref="J1:J2"/>
    <mergeCell ref="K1:K2"/>
    <mergeCell ref="L1:L2"/>
    <mergeCell ref="M1:O1"/>
    <mergeCell ref="P1:R1"/>
    <mergeCell ref="A1:A2"/>
    <mergeCell ref="B1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22287-F122-4E19-98B3-FCD2667FF4A8}">
  <dimension ref="A1:R31"/>
  <sheetViews>
    <sheetView tabSelected="1" workbookViewId="0">
      <selection activeCell="I29" sqref="I29:I30"/>
    </sheetView>
  </sheetViews>
  <sheetFormatPr defaultRowHeight="15" x14ac:dyDescent="0.25"/>
  <cols>
    <col min="1" max="1" width="10.28515625" customWidth="1"/>
    <col min="2" max="2" width="23.7109375" customWidth="1"/>
    <col min="3" max="8" width="10.28515625" customWidth="1"/>
    <col min="9" max="9" width="12.42578125" bestFit="1" customWidth="1"/>
    <col min="10" max="17" width="10.28515625" customWidth="1"/>
    <col min="18" max="18" width="29" customWidth="1"/>
  </cols>
  <sheetData>
    <row r="1" spans="1:18" x14ac:dyDescent="0.25">
      <c r="A1" s="30" t="s">
        <v>61</v>
      </c>
      <c r="B1" s="30" t="s">
        <v>3</v>
      </c>
      <c r="C1" s="30" t="s">
        <v>4</v>
      </c>
      <c r="D1" s="30" t="s">
        <v>5</v>
      </c>
      <c r="E1" s="31" t="s">
        <v>6</v>
      </c>
      <c r="F1" s="31"/>
      <c r="G1" s="31"/>
      <c r="H1" s="31"/>
      <c r="I1" s="32" t="s">
        <v>95</v>
      </c>
      <c r="J1" s="30" t="s">
        <v>7</v>
      </c>
      <c r="K1" s="30" t="s">
        <v>8</v>
      </c>
      <c r="L1" s="30" t="s">
        <v>9</v>
      </c>
      <c r="M1" s="31" t="s">
        <v>10</v>
      </c>
      <c r="N1" s="31"/>
      <c r="O1" s="31"/>
      <c r="P1" s="31" t="s">
        <v>11</v>
      </c>
      <c r="Q1" s="31"/>
      <c r="R1" s="31"/>
    </row>
    <row r="2" spans="1:18" ht="36" x14ac:dyDescent="0.25">
      <c r="A2" s="30"/>
      <c r="B2" s="30"/>
      <c r="C2" s="30"/>
      <c r="D2" s="30"/>
      <c r="E2" s="33" t="s">
        <v>12</v>
      </c>
      <c r="F2" s="33" t="s">
        <v>13</v>
      </c>
      <c r="G2" s="33" t="s">
        <v>14</v>
      </c>
      <c r="H2" s="33" t="s">
        <v>15</v>
      </c>
      <c r="I2" s="34"/>
      <c r="J2" s="30"/>
      <c r="K2" s="30"/>
      <c r="L2" s="30"/>
      <c r="M2" s="33" t="s">
        <v>16</v>
      </c>
      <c r="N2" s="33" t="s">
        <v>17</v>
      </c>
      <c r="O2" s="33" t="s">
        <v>18</v>
      </c>
      <c r="P2" s="33" t="s">
        <v>16</v>
      </c>
      <c r="Q2" s="33" t="s">
        <v>17</v>
      </c>
      <c r="R2" s="33" t="s">
        <v>18</v>
      </c>
    </row>
    <row r="3" spans="1:18" x14ac:dyDescent="0.25">
      <c r="A3" s="35" t="s">
        <v>19</v>
      </c>
      <c r="B3" s="36" t="s">
        <v>62</v>
      </c>
      <c r="C3" s="35"/>
      <c r="D3" s="35"/>
      <c r="E3" s="35"/>
      <c r="F3" s="35"/>
      <c r="G3" s="35"/>
      <c r="H3" s="35"/>
      <c r="I3" s="35"/>
      <c r="J3" s="35">
        <v>6</v>
      </c>
      <c r="K3" s="35">
        <v>6</v>
      </c>
      <c r="L3" s="35"/>
      <c r="M3" s="35"/>
      <c r="N3" s="35"/>
      <c r="O3" s="35"/>
      <c r="P3" s="35"/>
      <c r="Q3" s="35"/>
      <c r="R3" s="35"/>
    </row>
    <row r="4" spans="1:18" x14ac:dyDescent="0.25">
      <c r="A4" s="37" t="s">
        <v>21</v>
      </c>
      <c r="B4" s="38" t="s">
        <v>63</v>
      </c>
      <c r="C4" s="37"/>
      <c r="D4" s="37" t="s">
        <v>35</v>
      </c>
      <c r="E4" s="37">
        <v>14</v>
      </c>
      <c r="F4" s="37">
        <v>13</v>
      </c>
      <c r="G4" s="37"/>
      <c r="H4" s="37"/>
      <c r="I4" s="39">
        <v>10</v>
      </c>
      <c r="J4" s="37"/>
      <c r="K4" s="37">
        <v>2</v>
      </c>
      <c r="L4" s="37">
        <v>6</v>
      </c>
      <c r="M4" s="37" t="s">
        <v>36</v>
      </c>
      <c r="N4" s="37" t="s">
        <v>25</v>
      </c>
      <c r="O4" s="37" t="s">
        <v>26</v>
      </c>
      <c r="P4" s="37" t="s">
        <v>24</v>
      </c>
      <c r="Q4" s="37" t="s">
        <v>54</v>
      </c>
      <c r="R4" s="37" t="s">
        <v>26</v>
      </c>
    </row>
    <row r="5" spans="1:18" x14ac:dyDescent="0.25">
      <c r="A5" s="37" t="s">
        <v>28</v>
      </c>
      <c r="B5" s="38" t="s">
        <v>64</v>
      </c>
      <c r="C5" s="37"/>
      <c r="D5" s="37" t="s">
        <v>35</v>
      </c>
      <c r="E5" s="37">
        <v>7.5</v>
      </c>
      <c r="F5" s="37">
        <v>6</v>
      </c>
      <c r="G5" s="37"/>
      <c r="H5" s="37"/>
      <c r="I5" s="39">
        <v>10</v>
      </c>
      <c r="J5" s="37"/>
      <c r="K5" s="37">
        <v>1</v>
      </c>
      <c r="L5" s="37">
        <v>6</v>
      </c>
      <c r="M5" s="37" t="s">
        <v>36</v>
      </c>
      <c r="N5" s="37" t="s">
        <v>25</v>
      </c>
      <c r="O5" s="37" t="s">
        <v>26</v>
      </c>
      <c r="P5" s="37" t="s">
        <v>24</v>
      </c>
      <c r="Q5" s="37" t="s">
        <v>54</v>
      </c>
      <c r="R5" s="37" t="s">
        <v>26</v>
      </c>
    </row>
    <row r="6" spans="1:18" x14ac:dyDescent="0.25">
      <c r="A6" s="37" t="s">
        <v>33</v>
      </c>
      <c r="B6" s="38" t="s">
        <v>65</v>
      </c>
      <c r="C6" s="37"/>
      <c r="D6" s="37" t="s">
        <v>23</v>
      </c>
      <c r="E6" s="37">
        <v>31.5</v>
      </c>
      <c r="F6" s="37"/>
      <c r="G6" s="37"/>
      <c r="H6" s="37"/>
      <c r="I6" s="39">
        <v>10</v>
      </c>
      <c r="J6" s="37"/>
      <c r="K6" s="37">
        <v>3</v>
      </c>
      <c r="L6" s="37">
        <v>6</v>
      </c>
      <c r="M6" s="37" t="s">
        <v>36</v>
      </c>
      <c r="N6" s="37" t="s">
        <v>25</v>
      </c>
      <c r="O6" s="37" t="s">
        <v>26</v>
      </c>
      <c r="P6" s="37" t="s">
        <v>24</v>
      </c>
      <c r="Q6" s="37" t="s">
        <v>54</v>
      </c>
      <c r="R6" s="37" t="s">
        <v>26</v>
      </c>
    </row>
    <row r="7" spans="1:18" x14ac:dyDescent="0.25">
      <c r="A7" s="40" t="s">
        <v>96</v>
      </c>
      <c r="B7" s="41"/>
      <c r="C7" s="37"/>
      <c r="D7" s="37"/>
      <c r="E7" s="37"/>
      <c r="F7" s="37"/>
      <c r="G7" s="37"/>
      <c r="H7" s="37"/>
      <c r="I7" s="42">
        <f>(I6*K6+I5*K5+I4*K4)/K3</f>
        <v>10</v>
      </c>
      <c r="J7" s="37"/>
      <c r="K7" s="37"/>
      <c r="L7" s="37"/>
      <c r="M7" s="37"/>
      <c r="N7" s="37"/>
      <c r="O7" s="37"/>
      <c r="P7" s="37"/>
      <c r="Q7" s="37"/>
      <c r="R7" s="37"/>
    </row>
    <row r="8" spans="1:18" x14ac:dyDescent="0.25">
      <c r="A8" s="35" t="s">
        <v>39</v>
      </c>
      <c r="B8" s="36" t="s">
        <v>40</v>
      </c>
      <c r="C8" s="35"/>
      <c r="D8" s="35"/>
      <c r="E8" s="35"/>
      <c r="F8" s="35"/>
      <c r="G8" s="35"/>
      <c r="H8" s="35"/>
      <c r="I8" s="35"/>
      <c r="J8" s="35">
        <v>3</v>
      </c>
      <c r="K8" s="35">
        <v>3</v>
      </c>
      <c r="L8" s="35"/>
      <c r="M8" s="35"/>
      <c r="N8" s="35"/>
      <c r="O8" s="35"/>
      <c r="P8" s="35"/>
      <c r="Q8" s="35"/>
      <c r="R8" s="35"/>
    </row>
    <row r="9" spans="1:18" ht="24" x14ac:dyDescent="0.25">
      <c r="A9" s="37" t="s">
        <v>21</v>
      </c>
      <c r="B9" s="38" t="s">
        <v>66</v>
      </c>
      <c r="C9" s="37"/>
      <c r="D9" s="37" t="s">
        <v>35</v>
      </c>
      <c r="E9" s="37">
        <v>13.5</v>
      </c>
      <c r="F9" s="37"/>
      <c r="G9" s="37"/>
      <c r="H9" s="37"/>
      <c r="I9" s="39">
        <v>13</v>
      </c>
      <c r="J9" s="37"/>
      <c r="K9" s="37">
        <v>1</v>
      </c>
      <c r="L9" s="37">
        <v>6</v>
      </c>
      <c r="M9" s="37" t="s">
        <v>24</v>
      </c>
      <c r="N9" s="37" t="s">
        <v>25</v>
      </c>
      <c r="O9" s="37" t="s">
        <v>26</v>
      </c>
      <c r="P9" s="37" t="s">
        <v>24</v>
      </c>
      <c r="Q9" s="37" t="s">
        <v>54</v>
      </c>
      <c r="R9" s="37" t="s">
        <v>26</v>
      </c>
    </row>
    <row r="10" spans="1:18" x14ac:dyDescent="0.25">
      <c r="A10" s="37" t="s">
        <v>28</v>
      </c>
      <c r="B10" s="38" t="s">
        <v>67</v>
      </c>
      <c r="C10" s="37"/>
      <c r="D10" s="37" t="s">
        <v>35</v>
      </c>
      <c r="E10" s="37">
        <v>21</v>
      </c>
      <c r="F10" s="37"/>
      <c r="G10" s="37"/>
      <c r="H10" s="37"/>
      <c r="I10" s="39">
        <v>8</v>
      </c>
      <c r="J10" s="37"/>
      <c r="K10" s="37">
        <v>1</v>
      </c>
      <c r="L10" s="37">
        <v>6</v>
      </c>
      <c r="M10" s="37" t="s">
        <v>24</v>
      </c>
      <c r="N10" s="37" t="s">
        <v>25</v>
      </c>
      <c r="O10" s="37" t="s">
        <v>26</v>
      </c>
      <c r="P10" s="37" t="s">
        <v>24</v>
      </c>
      <c r="Q10" s="37" t="s">
        <v>54</v>
      </c>
      <c r="R10" s="37" t="s">
        <v>26</v>
      </c>
    </row>
    <row r="11" spans="1:18" x14ac:dyDescent="0.25">
      <c r="A11" s="37" t="s">
        <v>33</v>
      </c>
      <c r="B11" s="38" t="s">
        <v>68</v>
      </c>
      <c r="C11" s="37"/>
      <c r="D11" s="37" t="s">
        <v>35</v>
      </c>
      <c r="E11" s="37">
        <v>13.5</v>
      </c>
      <c r="F11" s="37"/>
      <c r="G11" s="37"/>
      <c r="H11" s="37"/>
      <c r="I11" s="39">
        <v>9</v>
      </c>
      <c r="J11" s="37"/>
      <c r="K11" s="37">
        <v>1</v>
      </c>
      <c r="L11" s="37">
        <v>6</v>
      </c>
      <c r="M11" s="37" t="s">
        <v>24</v>
      </c>
      <c r="N11" s="37" t="s">
        <v>25</v>
      </c>
      <c r="O11" s="37" t="s">
        <v>26</v>
      </c>
      <c r="P11" s="37" t="s">
        <v>24</v>
      </c>
      <c r="Q11" s="37" t="s">
        <v>54</v>
      </c>
      <c r="R11" s="37" t="s">
        <v>26</v>
      </c>
    </row>
    <row r="12" spans="1:18" x14ac:dyDescent="0.25">
      <c r="A12" s="40" t="s">
        <v>96</v>
      </c>
      <c r="B12" s="41"/>
      <c r="C12" s="37"/>
      <c r="D12" s="37"/>
      <c r="E12" s="37"/>
      <c r="F12" s="37"/>
      <c r="G12" s="37"/>
      <c r="H12" s="37"/>
      <c r="I12" s="42">
        <f>(I11*K11+K10*I10+I9*K9)/K8</f>
        <v>10</v>
      </c>
      <c r="J12" s="37"/>
      <c r="K12" s="37"/>
      <c r="L12" s="37"/>
      <c r="M12" s="37"/>
      <c r="N12" s="37"/>
      <c r="O12" s="37"/>
      <c r="P12" s="37"/>
      <c r="Q12" s="37"/>
      <c r="R12" s="37"/>
    </row>
    <row r="13" spans="1:18" ht="24" x14ac:dyDescent="0.25">
      <c r="A13" s="35" t="s">
        <v>44</v>
      </c>
      <c r="B13" s="36" t="s">
        <v>69</v>
      </c>
      <c r="C13" s="35"/>
      <c r="D13" s="35"/>
      <c r="E13" s="35"/>
      <c r="F13" s="35"/>
      <c r="G13" s="35"/>
      <c r="H13" s="35"/>
      <c r="I13" s="35"/>
      <c r="J13" s="35">
        <v>5</v>
      </c>
      <c r="K13" s="35">
        <v>5</v>
      </c>
      <c r="L13" s="35"/>
      <c r="M13" s="35"/>
      <c r="N13" s="35"/>
      <c r="O13" s="35"/>
      <c r="P13" s="35"/>
      <c r="Q13" s="35"/>
      <c r="R13" s="35"/>
    </row>
    <row r="14" spans="1:18" x14ac:dyDescent="0.25">
      <c r="A14" s="37" t="s">
        <v>21</v>
      </c>
      <c r="B14" s="38" t="s">
        <v>70</v>
      </c>
      <c r="C14" s="37"/>
      <c r="D14" s="37" t="s">
        <v>23</v>
      </c>
      <c r="E14" s="37">
        <v>21</v>
      </c>
      <c r="F14" s="37"/>
      <c r="G14" s="37"/>
      <c r="H14" s="37"/>
      <c r="I14" s="39">
        <v>10</v>
      </c>
      <c r="J14" s="37"/>
      <c r="K14" s="37">
        <v>1</v>
      </c>
      <c r="L14" s="37">
        <v>6</v>
      </c>
      <c r="M14" s="37" t="s">
        <v>24</v>
      </c>
      <c r="N14" s="37" t="s">
        <v>25</v>
      </c>
      <c r="O14" s="37" t="s">
        <v>26</v>
      </c>
      <c r="P14" s="37" t="s">
        <v>24</v>
      </c>
      <c r="Q14" s="37" t="s">
        <v>54</v>
      </c>
      <c r="R14" s="37" t="s">
        <v>26</v>
      </c>
    </row>
    <row r="15" spans="1:18" x14ac:dyDescent="0.25">
      <c r="A15" s="37" t="s">
        <v>28</v>
      </c>
      <c r="B15" s="38" t="s">
        <v>71</v>
      </c>
      <c r="C15" s="37"/>
      <c r="D15" s="37" t="s">
        <v>35</v>
      </c>
      <c r="E15" s="37">
        <v>21</v>
      </c>
      <c r="F15" s="37"/>
      <c r="G15" s="37"/>
      <c r="H15" s="37"/>
      <c r="I15" s="39">
        <v>10</v>
      </c>
      <c r="J15" s="37"/>
      <c r="K15" s="37">
        <v>1</v>
      </c>
      <c r="L15" s="37">
        <v>6</v>
      </c>
      <c r="M15" s="37" t="s">
        <v>24</v>
      </c>
      <c r="N15" s="37" t="s">
        <v>25</v>
      </c>
      <c r="O15" s="37" t="s">
        <v>26</v>
      </c>
      <c r="P15" s="37" t="s">
        <v>24</v>
      </c>
      <c r="Q15" s="37" t="s">
        <v>54</v>
      </c>
      <c r="R15" s="37" t="s">
        <v>26</v>
      </c>
    </row>
    <row r="16" spans="1:18" x14ac:dyDescent="0.25">
      <c r="A16" s="37" t="s">
        <v>33</v>
      </c>
      <c r="B16" s="38" t="s">
        <v>72</v>
      </c>
      <c r="C16" s="37"/>
      <c r="D16" s="37" t="s">
        <v>35</v>
      </c>
      <c r="E16" s="37">
        <v>21</v>
      </c>
      <c r="F16" s="37"/>
      <c r="G16" s="37"/>
      <c r="H16" s="37"/>
      <c r="I16" s="39">
        <v>10</v>
      </c>
      <c r="J16" s="37"/>
      <c r="K16" s="37">
        <v>1</v>
      </c>
      <c r="L16" s="37">
        <v>6</v>
      </c>
      <c r="M16" s="37" t="s">
        <v>24</v>
      </c>
      <c r="N16" s="37" t="s">
        <v>25</v>
      </c>
      <c r="O16" s="37" t="s">
        <v>26</v>
      </c>
      <c r="P16" s="37" t="s">
        <v>24</v>
      </c>
      <c r="Q16" s="37" t="s">
        <v>54</v>
      </c>
      <c r="R16" s="37" t="s">
        <v>26</v>
      </c>
    </row>
    <row r="17" spans="1:18" ht="24" x14ac:dyDescent="0.25">
      <c r="A17" s="37" t="s">
        <v>37</v>
      </c>
      <c r="B17" s="38" t="s">
        <v>73</v>
      </c>
      <c r="C17" s="37"/>
      <c r="D17" s="37" t="s">
        <v>23</v>
      </c>
      <c r="E17" s="37">
        <v>27</v>
      </c>
      <c r="F17" s="37"/>
      <c r="G17" s="37"/>
      <c r="H17" s="37"/>
      <c r="I17" s="39">
        <v>10</v>
      </c>
      <c r="J17" s="37"/>
      <c r="K17" s="37">
        <v>2</v>
      </c>
      <c r="L17" s="37">
        <v>6</v>
      </c>
      <c r="M17" s="37" t="s">
        <v>24</v>
      </c>
      <c r="N17" s="37" t="s">
        <v>25</v>
      </c>
      <c r="O17" s="37" t="s">
        <v>26</v>
      </c>
      <c r="P17" s="37" t="s">
        <v>24</v>
      </c>
      <c r="Q17" s="37" t="s">
        <v>54</v>
      </c>
      <c r="R17" s="37" t="s">
        <v>26</v>
      </c>
    </row>
    <row r="18" spans="1:18" x14ac:dyDescent="0.25">
      <c r="A18" s="40" t="s">
        <v>96</v>
      </c>
      <c r="B18" s="41"/>
      <c r="C18" s="37"/>
      <c r="D18" s="37"/>
      <c r="E18" s="37"/>
      <c r="F18" s="37"/>
      <c r="G18" s="37"/>
      <c r="H18" s="37"/>
      <c r="I18" s="42">
        <f>(I16+I14+I15+I17*K17)/K13</f>
        <v>10</v>
      </c>
      <c r="J18" s="37"/>
      <c r="K18" s="37"/>
      <c r="L18" s="37"/>
      <c r="M18" s="37"/>
      <c r="N18" s="37"/>
      <c r="O18" s="37"/>
      <c r="P18" s="37"/>
      <c r="Q18" s="37"/>
      <c r="R18" s="37"/>
    </row>
    <row r="19" spans="1:18" x14ac:dyDescent="0.25">
      <c r="A19" s="35" t="s">
        <v>56</v>
      </c>
      <c r="B19" s="36" t="s">
        <v>74</v>
      </c>
      <c r="C19" s="35"/>
      <c r="D19" s="35"/>
      <c r="E19" s="35"/>
      <c r="F19" s="35"/>
      <c r="G19" s="35"/>
      <c r="H19" s="35"/>
      <c r="I19" s="35"/>
      <c r="J19" s="35">
        <v>2</v>
      </c>
      <c r="K19" s="35">
        <v>2</v>
      </c>
      <c r="L19" s="35"/>
      <c r="M19" s="35"/>
      <c r="N19" s="35"/>
      <c r="O19" s="35"/>
      <c r="P19" s="35"/>
      <c r="Q19" s="35"/>
      <c r="R19" s="35"/>
    </row>
    <row r="20" spans="1:18" ht="24" x14ac:dyDescent="0.25">
      <c r="A20" s="37" t="s">
        <v>21</v>
      </c>
      <c r="B20" s="38" t="s">
        <v>75</v>
      </c>
      <c r="C20" s="37"/>
      <c r="D20" s="37" t="s">
        <v>35</v>
      </c>
      <c r="E20" s="37">
        <v>18</v>
      </c>
      <c r="F20" s="37"/>
      <c r="G20" s="37">
        <v>18</v>
      </c>
      <c r="H20" s="37"/>
      <c r="I20" s="39">
        <v>10</v>
      </c>
      <c r="J20" s="37"/>
      <c r="K20" s="37">
        <v>1</v>
      </c>
      <c r="L20" s="37">
        <v>6</v>
      </c>
      <c r="M20" s="37" t="s">
        <v>36</v>
      </c>
      <c r="N20" s="37" t="s">
        <v>47</v>
      </c>
      <c r="O20" s="37" t="s">
        <v>26</v>
      </c>
      <c r="P20" s="37" t="s">
        <v>48</v>
      </c>
      <c r="Q20" s="37" t="s">
        <v>49</v>
      </c>
      <c r="R20" s="37" t="s">
        <v>50</v>
      </c>
    </row>
    <row r="21" spans="1:18" ht="36" x14ac:dyDescent="0.25">
      <c r="A21" s="37" t="s">
        <v>28</v>
      </c>
      <c r="B21" s="38" t="s">
        <v>51</v>
      </c>
      <c r="C21" s="37"/>
      <c r="D21" s="37" t="s">
        <v>35</v>
      </c>
      <c r="E21" s="37"/>
      <c r="F21" s="37"/>
      <c r="G21" s="37">
        <v>18</v>
      </c>
      <c r="H21" s="37"/>
      <c r="I21" s="37"/>
      <c r="J21" s="37"/>
      <c r="K21" s="37">
        <v>0</v>
      </c>
      <c r="L21" s="37"/>
      <c r="M21" s="43" t="s">
        <v>52</v>
      </c>
      <c r="N21" s="43"/>
      <c r="O21" s="43"/>
      <c r="P21" s="43"/>
      <c r="Q21" s="43"/>
      <c r="R21" s="43"/>
    </row>
    <row r="22" spans="1:18" ht="24" x14ac:dyDescent="0.25">
      <c r="A22" s="37" t="s">
        <v>33</v>
      </c>
      <c r="B22" s="38" t="s">
        <v>76</v>
      </c>
      <c r="C22" s="37"/>
      <c r="D22" s="37" t="s">
        <v>35</v>
      </c>
      <c r="E22" s="37">
        <v>16.5</v>
      </c>
      <c r="F22" s="37">
        <v>8</v>
      </c>
      <c r="G22" s="37"/>
      <c r="H22" s="37"/>
      <c r="I22" s="39">
        <v>10</v>
      </c>
      <c r="J22" s="37"/>
      <c r="K22" s="37">
        <v>1</v>
      </c>
      <c r="L22" s="37">
        <v>6</v>
      </c>
      <c r="M22" s="37" t="s">
        <v>36</v>
      </c>
      <c r="N22" s="37" t="s">
        <v>25</v>
      </c>
      <c r="O22" s="37" t="s">
        <v>26</v>
      </c>
      <c r="P22" s="37" t="s">
        <v>36</v>
      </c>
      <c r="Q22" s="37" t="s">
        <v>25</v>
      </c>
      <c r="R22" s="37" t="s">
        <v>77</v>
      </c>
    </row>
    <row r="23" spans="1:18" x14ac:dyDescent="0.25">
      <c r="A23" s="40" t="s">
        <v>96</v>
      </c>
      <c r="B23" s="41"/>
      <c r="C23" s="37"/>
      <c r="D23" s="37"/>
      <c r="E23" s="37"/>
      <c r="F23" s="37"/>
      <c r="G23" s="37"/>
      <c r="H23" s="37"/>
      <c r="I23" s="42">
        <f>(I20+I22)/2</f>
        <v>10</v>
      </c>
      <c r="J23" s="37"/>
      <c r="K23" s="37"/>
      <c r="L23" s="37"/>
      <c r="M23" s="37"/>
      <c r="N23" s="37"/>
      <c r="O23" s="37"/>
      <c r="P23" s="37"/>
      <c r="Q23" s="37"/>
      <c r="R23" s="37"/>
    </row>
    <row r="24" spans="1:18" x14ac:dyDescent="0.25">
      <c r="A24" s="35" t="s">
        <v>78</v>
      </c>
      <c r="B24" s="36" t="s">
        <v>79</v>
      </c>
      <c r="C24" s="35"/>
      <c r="D24" s="35"/>
      <c r="E24" s="35"/>
      <c r="F24" s="35"/>
      <c r="G24" s="35"/>
      <c r="H24" s="35"/>
      <c r="I24" s="35"/>
      <c r="J24" s="35">
        <v>3</v>
      </c>
      <c r="K24" s="35">
        <v>3</v>
      </c>
      <c r="L24" s="35"/>
      <c r="M24" s="35"/>
      <c r="N24" s="35"/>
      <c r="O24" s="35"/>
      <c r="P24" s="35"/>
      <c r="Q24" s="35"/>
      <c r="R24" s="35"/>
    </row>
    <row r="25" spans="1:18" x14ac:dyDescent="0.25">
      <c r="A25" s="37" t="s">
        <v>58</v>
      </c>
      <c r="B25" s="38" t="s">
        <v>80</v>
      </c>
      <c r="C25" s="37"/>
      <c r="D25" s="37" t="s">
        <v>35</v>
      </c>
      <c r="E25" s="37">
        <v>3</v>
      </c>
      <c r="F25" s="37"/>
      <c r="G25" s="37"/>
      <c r="H25" s="37">
        <v>40</v>
      </c>
      <c r="I25" s="39">
        <v>10</v>
      </c>
      <c r="J25" s="37"/>
      <c r="K25" s="37">
        <v>2</v>
      </c>
      <c r="L25" s="37"/>
      <c r="M25" s="37" t="s">
        <v>36</v>
      </c>
      <c r="N25" s="37" t="s">
        <v>47</v>
      </c>
      <c r="O25" s="37" t="s">
        <v>26</v>
      </c>
      <c r="P25" s="37" t="s">
        <v>36</v>
      </c>
      <c r="Q25" s="37" t="s">
        <v>54</v>
      </c>
      <c r="R25" s="37" t="s">
        <v>26</v>
      </c>
    </row>
    <row r="26" spans="1:18" x14ac:dyDescent="0.25">
      <c r="A26" s="37" t="s">
        <v>21</v>
      </c>
      <c r="B26" s="38" t="s">
        <v>81</v>
      </c>
      <c r="C26" s="37"/>
      <c r="D26" s="37" t="s">
        <v>35</v>
      </c>
      <c r="E26" s="37">
        <v>3</v>
      </c>
      <c r="F26" s="37"/>
      <c r="G26" s="37"/>
      <c r="H26" s="37"/>
      <c r="I26" s="39">
        <v>10</v>
      </c>
      <c r="J26" s="37"/>
      <c r="K26" s="37">
        <v>1</v>
      </c>
      <c r="L26" s="37">
        <v>6</v>
      </c>
      <c r="M26" s="37" t="s">
        <v>36</v>
      </c>
      <c r="N26" s="37" t="s">
        <v>54</v>
      </c>
      <c r="O26" s="37" t="s">
        <v>26</v>
      </c>
      <c r="P26" s="37" t="s">
        <v>24</v>
      </c>
      <c r="Q26" s="37" t="s">
        <v>54</v>
      </c>
      <c r="R26" s="37" t="s">
        <v>26</v>
      </c>
    </row>
    <row r="27" spans="1:18" x14ac:dyDescent="0.25">
      <c r="A27" s="40" t="s">
        <v>96</v>
      </c>
      <c r="B27" s="41"/>
      <c r="C27" s="37"/>
      <c r="D27" s="37"/>
      <c r="E27" s="37"/>
      <c r="F27" s="37"/>
      <c r="G27" s="37"/>
      <c r="H27" s="37"/>
      <c r="I27" s="42">
        <f>(I25*K25+I26*K26)/K24</f>
        <v>10</v>
      </c>
      <c r="J27" s="37"/>
      <c r="K27" s="37"/>
      <c r="L27" s="37"/>
      <c r="M27" s="37"/>
      <c r="N27" s="37"/>
      <c r="O27" s="37"/>
      <c r="P27" s="37"/>
      <c r="Q27" s="37"/>
      <c r="R27" s="37"/>
    </row>
    <row r="28" spans="1:18" x14ac:dyDescent="0.25">
      <c r="A28" s="35" t="s">
        <v>82</v>
      </c>
      <c r="B28" s="36" t="s">
        <v>57</v>
      </c>
      <c r="C28" s="35"/>
      <c r="D28" s="35"/>
      <c r="E28" s="35"/>
      <c r="F28" s="35"/>
      <c r="G28" s="35"/>
      <c r="H28" s="35"/>
      <c r="I28" s="35"/>
      <c r="J28" s="35">
        <v>11</v>
      </c>
      <c r="K28" s="35">
        <v>11</v>
      </c>
      <c r="L28" s="35"/>
      <c r="M28" s="35"/>
      <c r="N28" s="35"/>
      <c r="O28" s="35"/>
      <c r="P28" s="35"/>
      <c r="Q28" s="35"/>
      <c r="R28" s="35"/>
    </row>
    <row r="29" spans="1:18" ht="24" x14ac:dyDescent="0.25">
      <c r="A29" s="37" t="s">
        <v>58</v>
      </c>
      <c r="B29" s="38" t="s">
        <v>59</v>
      </c>
      <c r="C29" s="37"/>
      <c r="D29" s="37"/>
      <c r="E29" s="37"/>
      <c r="F29" s="37"/>
      <c r="G29" s="37"/>
      <c r="H29" s="37"/>
      <c r="I29" s="39">
        <v>10</v>
      </c>
      <c r="J29" s="37"/>
      <c r="K29" s="37">
        <v>11</v>
      </c>
      <c r="L29" s="37">
        <v>12</v>
      </c>
      <c r="M29" s="37" t="s">
        <v>36</v>
      </c>
      <c r="N29" s="37" t="s">
        <v>47</v>
      </c>
      <c r="O29" s="37" t="s">
        <v>26</v>
      </c>
      <c r="P29" s="37" t="s">
        <v>36</v>
      </c>
      <c r="Q29" s="37" t="s">
        <v>54</v>
      </c>
      <c r="R29" s="37" t="s">
        <v>26</v>
      </c>
    </row>
    <row r="30" spans="1:18" ht="15.75" thickBot="1" x14ac:dyDescent="0.3">
      <c r="A30" s="40" t="s">
        <v>96</v>
      </c>
      <c r="B30" s="41"/>
      <c r="C30" s="44"/>
      <c r="D30" s="44"/>
      <c r="E30" s="44"/>
      <c r="F30" s="44"/>
      <c r="G30" s="44"/>
      <c r="H30" s="44"/>
      <c r="I30" s="42">
        <f>I29</f>
        <v>10</v>
      </c>
      <c r="J30" s="44"/>
      <c r="K30" s="44"/>
      <c r="L30" s="44"/>
      <c r="M30" s="44"/>
      <c r="N30" s="44"/>
      <c r="O30" s="44"/>
      <c r="P30" s="44"/>
      <c r="Q30" s="44"/>
      <c r="R30" s="44"/>
    </row>
    <row r="31" spans="1:18" ht="15.75" thickBot="1" x14ac:dyDescent="0.3">
      <c r="A31" s="45" t="s">
        <v>60</v>
      </c>
      <c r="B31" s="45"/>
      <c r="C31" s="45"/>
      <c r="D31" s="45"/>
      <c r="E31" s="46">
        <f>SUM(E3:E29)</f>
        <v>231.5</v>
      </c>
      <c r="F31" s="46">
        <f>SUM(F3:F29)</f>
        <v>27</v>
      </c>
      <c r="G31" s="46">
        <f>SUM(G3:G29)</f>
        <v>36</v>
      </c>
      <c r="H31" s="46">
        <f>SUM(H3:H29)</f>
        <v>40</v>
      </c>
      <c r="I31" s="46"/>
      <c r="J31" s="46">
        <f>SUM(J3:J29)</f>
        <v>30</v>
      </c>
      <c r="K31" s="46"/>
      <c r="L31" s="46"/>
      <c r="M31" s="46"/>
      <c r="N31" s="46"/>
      <c r="O31" s="46"/>
      <c r="P31" s="46"/>
      <c r="Q31" s="46"/>
      <c r="R31" s="46"/>
    </row>
  </sheetData>
  <mergeCells count="19">
    <mergeCell ref="A30:B30"/>
    <mergeCell ref="A31:D31"/>
    <mergeCell ref="I1:I2"/>
    <mergeCell ref="A7:B7"/>
    <mergeCell ref="A12:B12"/>
    <mergeCell ref="A23:B23"/>
    <mergeCell ref="A27:B27"/>
    <mergeCell ref="A18:B18"/>
    <mergeCell ref="E1:H1"/>
    <mergeCell ref="M1:O1"/>
    <mergeCell ref="P1:R1"/>
    <mergeCell ref="M21:R21"/>
    <mergeCell ref="J1:J2"/>
    <mergeCell ref="K1:K2"/>
    <mergeCell ref="L1:L2"/>
    <mergeCell ref="A1:A2"/>
    <mergeCell ref="B1:B2"/>
    <mergeCell ref="C1:C2"/>
    <mergeCell ref="D1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M3C ING2 FISA Maths-Finance</vt:lpstr>
      <vt:lpstr>MOYENNE S1</vt:lpstr>
      <vt:lpstr>MOYENNE S2</vt:lpstr>
      <vt:lpstr>'M3C ING2 FISA Maths-Finance'!Print_Titles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t67355</cp:lastModifiedBy>
  <cp:revision>0</cp:revision>
  <cp:lastPrinted>2026-08-14T07:49:44Z</cp:lastPrinted>
  <dcterms:created xsi:type="dcterms:W3CDTF">2026-08-13T10:43:40Z</dcterms:created>
  <dcterms:modified xsi:type="dcterms:W3CDTF">2026-08-14T07:52:02Z</dcterms:modified>
  <dc:language>en-US</dc:language>
</cp:coreProperties>
</file>